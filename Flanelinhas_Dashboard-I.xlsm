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tables/table2.xml" ContentType="application/vnd.openxmlformats-officedocument.spreadsheetml.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2.xml" ContentType="application/vnd.openxmlformats-officedocument.themeOverrid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3.xml" ContentType="application/vnd.openxmlformats-officedocument.themeOverrid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4.xml" ContentType="application/vnd.openxmlformats-officedocument.themeOverride+xml"/>
  <Override PartName="/xl/charts/chart6.xml" ContentType="application/vnd.openxmlformats-officedocument.drawingml.chart+xml"/>
  <Override PartName="/xl/theme/themeOverride5.xml" ContentType="application/vnd.openxmlformats-officedocument.themeOverride+xml"/>
  <Override PartName="/xl/drawings/drawing2.xml" ContentType="application/vnd.openxmlformats-officedocument.drawing+xml"/>
  <Override PartName="/xl/slicers/slicer1.xml" ContentType="application/vnd.ms-excel.slicer+xml"/>
  <Override PartName="/xl/charts/chart7.xml" ContentType="application/vnd.openxmlformats-officedocument.drawingml.chart+xml"/>
  <Override PartName="/xl/theme/themeOverride6.xml" ContentType="application/vnd.openxmlformats-officedocument.themeOverride+xml"/>
  <Override PartName="/xl/charts/chart8.xml" ContentType="application/vnd.openxmlformats-officedocument.drawingml.chart+xml"/>
  <Override PartName="/xl/theme/themeOverride7.xml" ContentType="application/vnd.openxmlformats-officedocument.themeOverride+xml"/>
  <Override PartName="/xl/drawings/drawing3.xml" ContentType="application/vnd.openxmlformats-officedocument.drawingml.chartshapes+xml"/>
  <Override PartName="/xl/charts/chart9.xml" ContentType="application/vnd.openxmlformats-officedocument.drawingml.chart+xml"/>
  <Override PartName="/xl/theme/themeOverride8.xml" ContentType="application/vnd.openxmlformats-officedocument.themeOverride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harts/chart11.xml" ContentType="application/vnd.openxmlformats-officedocument.drawingml.chart+xml"/>
  <Override PartName="/xl/theme/themeOverride9.xml" ContentType="application/vnd.openxmlformats-officedocument.themeOverride+xml"/>
  <Override PartName="/xl/drawings/drawing5.xml" ContentType="application/vnd.openxmlformats-officedocument.drawingml.chartshapes+xml"/>
  <Override PartName="/xl/charts/chart12.xml" ContentType="application/vnd.openxmlformats-officedocument.drawingml.chart+xml"/>
  <Override PartName="/xl/theme/themeOverride10.xml" ContentType="application/vnd.openxmlformats-officedocument.themeOverride+xml"/>
  <Override PartName="/xl/charts/chart13.xml" ContentType="application/vnd.openxmlformats-officedocument.drawingml.chart+xml"/>
  <Override PartName="/xl/theme/themeOverride11.xml" ContentType="application/vnd.openxmlformats-officedocument.themeOverride+xml"/>
  <Override PartName="/xl/drawings/drawing6.xml" ContentType="application/vnd.openxmlformats-officedocument.drawingml.chartshapes+xml"/>
  <Override PartName="/xl/charts/chart14.xml" ContentType="application/vnd.openxmlformats-officedocument.drawingml.chart+xml"/>
  <Override PartName="/xl/theme/themeOverride12.xml" ContentType="application/vnd.openxmlformats-officedocument.themeOverride+xml"/>
  <Override PartName="/xl/drawings/drawing7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Abel F. da Silva\Documents\flanelinhas\"/>
    </mc:Choice>
  </mc:AlternateContent>
  <xr:revisionPtr revIDLastSave="0" documentId="13_ncr:1_{17A38F55-7A2B-4A22-9C4A-AD32BBA7F4AD}" xr6:coauthVersionLast="45" xr6:coauthVersionMax="45" xr10:uidLastSave="{00000000-0000-0000-0000-000000000000}"/>
  <bookViews>
    <workbookView xWindow="-110" yWindow="-110" windowWidth="19420" windowHeight="10560" firstSheet="4" activeTab="4" xr2:uid="{00000000-000D-0000-FFFF-FFFF00000000}"/>
  </bookViews>
  <sheets>
    <sheet name="BD" sheetId="1" state="hidden" r:id="rId1"/>
    <sheet name="CALCULOS" sheetId="2" state="hidden" r:id="rId2"/>
    <sheet name="BD_Atend_Sociais" sheetId="6" state="hidden" r:id="rId3"/>
    <sheet name="Calculos_Atend_Sociais" sheetId="7" state="hidden" r:id="rId4"/>
    <sheet name="Autuações" sheetId="3" r:id="rId5"/>
    <sheet name="Perfil Autuações" sheetId="4" r:id="rId6"/>
    <sheet name="Ações FASC - SINE" sheetId="5" r:id="rId7"/>
  </sheets>
  <definedNames>
    <definedName name="_xlnm.Print_Area" localSheetId="4">Autuações!$A$1:$FB$161</definedName>
    <definedName name="_xlnm.Print_Area" localSheetId="5">'Perfil Autuações'!$A$1:$CH$116</definedName>
    <definedName name="SegmentaçãodeDados_BAIRRO">#N/A</definedName>
    <definedName name="SegmentaçãodeDados_IDADE">#N/A</definedName>
  </definedNames>
  <calcPr calcId="191029" iterateDelta="1E-4"/>
  <pivotCaches>
    <pivotCache cacheId="7" r:id="rId8"/>
    <pivotCache cacheId="15" r:id="rId9"/>
  </pivotCaches>
  <extLst>
    <ext xmlns:x14="http://schemas.microsoft.com/office/spreadsheetml/2009/9/main" uri="{BBE1A952-AA13-448e-AADC-164F8A28A991}">
      <x14:slicerCaches>
        <x14:slicerCache r:id="rId10"/>
        <x14:slicerCache r:id="rId1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263" i="1" l="1"/>
  <c r="L263" i="1"/>
  <c r="DD42" i="4" l="1"/>
  <c r="J263" i="1" l="1"/>
  <c r="K263" i="1"/>
  <c r="I263" i="1"/>
  <c r="Q4" i="1" l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  <c r="D177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Abel F. da Silva</author>
  </authors>
  <commentList>
    <comment ref="B214" authorId="0" shapeId="0" xr:uid="{00000000-0006-0000-0000-000001000000}">
      <text>
        <r>
          <rPr>
            <b/>
            <sz val="9"/>
            <color indexed="81"/>
            <rFont val="Segoe UI"/>
            <family val="2"/>
          </rPr>
          <t>Abel F. da Silva:</t>
        </r>
        <r>
          <rPr>
            <sz val="9"/>
            <color indexed="81"/>
            <rFont val="Segoe UI"/>
            <family val="2"/>
          </rPr>
          <t xml:space="preserve">
Dados referente a antecedentes, mandado e idade não localizados pelo SIG até o momento;</t>
        </r>
      </text>
    </comment>
  </commentList>
</comments>
</file>

<file path=xl/sharedStrings.xml><?xml version="1.0" encoding="utf-8"?>
<sst xmlns="http://schemas.openxmlformats.org/spreadsheetml/2006/main" count="1232" uniqueCount="294">
  <si>
    <t>ID FLANELINHA</t>
  </si>
  <si>
    <t>NOME</t>
  </si>
  <si>
    <t>SEXO</t>
  </si>
  <si>
    <t>IDADE</t>
  </si>
  <si>
    <t>1º PROCESSO SEI GERADO</t>
  </si>
  <si>
    <t>2º  PROCESSO SEI GERADO</t>
  </si>
  <si>
    <t>3º  PROCESSO SEI GERADO</t>
  </si>
  <si>
    <t>4º  PROCESSO SEI GERADO</t>
  </si>
  <si>
    <t>5º  PROCESSO SEI GERADO</t>
  </si>
  <si>
    <t>MÊS</t>
  </si>
  <si>
    <t xml:space="preserve"> ADAIR ROBERTO AMARANTE DA SILVA</t>
  </si>
  <si>
    <t xml:space="preserve">MASCULINO </t>
  </si>
  <si>
    <t>JANEIRO</t>
  </si>
  <si>
    <t xml:space="preserve"> Anderson Ferreira da Silva</t>
  </si>
  <si>
    <t xml:space="preserve"> CARLOS JULIANO AIRES MACHADO</t>
  </si>
  <si>
    <t xml:space="preserve"> Carlos Luciano marquezotti</t>
  </si>
  <si>
    <t xml:space="preserve"> CHARLES SANTOS SOUZA </t>
  </si>
  <si>
    <t xml:space="preserve"> CLAUDIO RICARDO COELHO SANTOS </t>
  </si>
  <si>
    <t xml:space="preserve"> Daniel Pereira Garcia</t>
  </si>
  <si>
    <t xml:space="preserve"> Diogo Maurer de Souza</t>
  </si>
  <si>
    <t xml:space="preserve"> EDMILSON PEREIRA SOUZA </t>
  </si>
  <si>
    <t xml:space="preserve"> ÉLVIO IENSEN </t>
  </si>
  <si>
    <t xml:space="preserve"> FABIANO FRANCISCO</t>
  </si>
  <si>
    <t xml:space="preserve"> FABIANO SIQUEIRA MESSIAS </t>
  </si>
  <si>
    <t xml:space="preserve"> Jéferson Silvino Oliveira da Silva</t>
  </si>
  <si>
    <t xml:space="preserve"> Leandro Laudenir Dutra</t>
  </si>
  <si>
    <t xml:space="preserve"> Márcio Henrique Chaves Padilha</t>
  </si>
  <si>
    <t xml:space="preserve"> MATHEUS SANTIAGO BATISTA DA SILVA </t>
  </si>
  <si>
    <t xml:space="preserve"> Maximiliano Franco Teixeira</t>
  </si>
  <si>
    <t xml:space="preserve"> Patryck Israel Fraga Ribeiro</t>
  </si>
  <si>
    <t xml:space="preserve"> ROBERTO CARLOS LEMOS FRANÇA</t>
  </si>
  <si>
    <t xml:space="preserve"> Rossildes Júnior Machado Silveira</t>
  </si>
  <si>
    <t xml:space="preserve"> Sandro Linhares da Silva</t>
  </si>
  <si>
    <t xml:space="preserve"> Sérgio Luís Lopes Escobar</t>
  </si>
  <si>
    <t xml:space="preserve"> TIAGO EDERSON CAVALHEIRO DOS SANTOS </t>
  </si>
  <si>
    <t>Adilson Dias dos Santos</t>
  </si>
  <si>
    <t>Anderson Capilheira de Oliveira</t>
  </si>
  <si>
    <t>Anderson da Veiga Leite</t>
  </si>
  <si>
    <t>Carlos Alberto da Silva Santos</t>
  </si>
  <si>
    <t>CARLOS ROBERTO DA SILVA MARIA</t>
  </si>
  <si>
    <t>CESAR PIVETTA DUPONT</t>
  </si>
  <si>
    <t>CLAUDIO LINARES MENDES JUNIOR</t>
  </si>
  <si>
    <t>Douglas Martins da Silva</t>
  </si>
  <si>
    <t>EDINEI PEREIRA MEDINA</t>
  </si>
  <si>
    <t>Émerson de Arruda Paes</t>
  </si>
  <si>
    <t>Emidio Rodrigues de Oliveira</t>
  </si>
  <si>
    <t>FLAVIO FERREIRA DA SILVA</t>
  </si>
  <si>
    <t>GIOVANI BAUM</t>
  </si>
  <si>
    <t>JACKSON DA SILVA BARBOSA</t>
  </si>
  <si>
    <t>João Antonio da Silva</t>
  </si>
  <si>
    <t>JOÃO PAULO GARCIA  CASTILHOS</t>
  </si>
  <si>
    <t>Jonathan Lee Fernando Fraga Garcez Costa</t>
  </si>
  <si>
    <t>JULIANO ASSIS DA SILVA</t>
  </si>
  <si>
    <t>JURACI SOARES FILHO</t>
  </si>
  <si>
    <t>LUIS CESAR DA SILVEIRA  NORONHA</t>
  </si>
  <si>
    <t>MARCELO MULLER RODRIGUES</t>
  </si>
  <si>
    <t>MARCO AURELIO DA SILVA</t>
  </si>
  <si>
    <t>Marcos Vinicius da Silveira Rabello</t>
  </si>
  <si>
    <t>MATHEUS HENRIQUE DOS SANTOS SOUZA</t>
  </si>
  <si>
    <t>ORDONEZ ANTUNES</t>
  </si>
  <si>
    <t>Paulo Evandro Matos Ferraz</t>
  </si>
  <si>
    <t>PAULO ROBERTO NASCIMENTO DOS SANTOS</t>
  </si>
  <si>
    <t>Roberto Carlos de Vargas Souza</t>
  </si>
  <si>
    <t>RODRIGO BRAGA MOREIRA</t>
  </si>
  <si>
    <t>SALATIÉL ALONSO FRAGOSO</t>
  </si>
  <si>
    <t>VALDOIR PINTO BATISTA</t>
  </si>
  <si>
    <t>Paulo dos Santos</t>
  </si>
  <si>
    <t>CAROLINE DOS SANTOS LACERDA</t>
  </si>
  <si>
    <t>FEMININO</t>
  </si>
  <si>
    <t>Antonio Marcos Oliveira</t>
  </si>
  <si>
    <t>Marcelo Gomes</t>
  </si>
  <si>
    <t xml:space="preserve"> Jairo Lima da Conceição</t>
  </si>
  <si>
    <t xml:space="preserve"> Hamílton Cezário de Abreu</t>
  </si>
  <si>
    <t>FEVEREIRO</t>
  </si>
  <si>
    <t xml:space="preserve"> Nilson Cristiano Morsch</t>
  </si>
  <si>
    <t xml:space="preserve">  Juarez Figueiredo da Costa</t>
  </si>
  <si>
    <t xml:space="preserve"> Wagner Dutra de Lima</t>
  </si>
  <si>
    <t xml:space="preserve"> emerson fernando alves da silva</t>
  </si>
  <si>
    <t xml:space="preserve"> José Luis Pereira</t>
  </si>
  <si>
    <t xml:space="preserve"> Saul Pereira Silva</t>
  </si>
  <si>
    <t>EDUARDO GOMES DE ARAUJO VIANNA</t>
  </si>
  <si>
    <t>JOÃO COSTA JARDIN</t>
  </si>
  <si>
    <t>PAULO RICARDO DO AMARAL RAYMUNDO</t>
  </si>
  <si>
    <t>CLAUDIOMIRO DO AMARAL RAYMUNDO</t>
  </si>
  <si>
    <t>LEANDRO LEITE DA SILVA</t>
  </si>
  <si>
    <t>LEANDRO DE SOUZA GONÇALVES</t>
  </si>
  <si>
    <t>TIAGO ROBERTO OLIVEIRA CONCEIÇÃO</t>
  </si>
  <si>
    <t xml:space="preserve">  Anderson Neves Correia</t>
  </si>
  <si>
    <t xml:space="preserve">  Jair Santos dos Santos</t>
  </si>
  <si>
    <t>LUIS MANOEL KOVALUKUKS</t>
  </si>
  <si>
    <t>ANDERSON LUIZ RAMOS BARCELOS</t>
  </si>
  <si>
    <t>EDISON LUIZ BARBOSA</t>
  </si>
  <si>
    <t>ADAILTON DIAS SANTOS</t>
  </si>
  <si>
    <t>ELIAS FLORES JUNIOR</t>
  </si>
  <si>
    <t>FERNANDO LÚCIO</t>
  </si>
  <si>
    <t>GÉLSON DE ALMEIDA VIERA</t>
  </si>
  <si>
    <t>CARLOS ALBERTO DE OLVEIRA CARDOSO</t>
  </si>
  <si>
    <t>CLAUDEMIR LEMOS DA SILVA</t>
  </si>
  <si>
    <t>JOSÉ RICARDO MOURA NUNES</t>
  </si>
  <si>
    <t>STEVAN ÁVILA NUNES</t>
  </si>
  <si>
    <t>MARCELO PEREIRA NASCIMENTO</t>
  </si>
  <si>
    <t>FABIANO DA SILVA CONCEIÇÃO</t>
  </si>
  <si>
    <t>SIDINEI PIRES DE SOUZA JUNIOR</t>
  </si>
  <si>
    <t>LUIZ ANDRE BANDEIRA TRINDADE</t>
  </si>
  <si>
    <t>JULIO CESAR SILVEIRA MOTA ALVES</t>
  </si>
  <si>
    <t>RONALDO VARGAS SOARES</t>
  </si>
  <si>
    <t>JORGE ANTÔNIO ANTUNES MARQUES</t>
  </si>
  <si>
    <t>CARLOS GONÇALVES PINTO</t>
  </si>
  <si>
    <t>MILTON ASSUMPÇÃO DE OLIVEIRA</t>
  </si>
  <si>
    <t>PATRICK TAVARES MACHADO</t>
  </si>
  <si>
    <t>DANIEL DIAS VAZ</t>
  </si>
  <si>
    <t>MARCO AURÉLIO MACHADO DA SILVA</t>
  </si>
  <si>
    <t>JOVANI RICARDO DE LIMA RODRIGUES</t>
  </si>
  <si>
    <t>DIOGO FRANCISCO DA SILVA</t>
  </si>
  <si>
    <t>ALISSON ROBERTO ABREU DA SILVA</t>
  </si>
  <si>
    <t xml:space="preserve">FABIANO SILVA DOS SANTOS </t>
  </si>
  <si>
    <t>RENATO DA SILVA ARAÚJO</t>
  </si>
  <si>
    <t>CLÓVIS LUIS MOURA NUNES</t>
  </si>
  <si>
    <t>ANDERSON AMARO DIAS</t>
  </si>
  <si>
    <t>ANDERSON DUTRA SOARES</t>
  </si>
  <si>
    <t>MÁRCIO ANDRE SOARES DE OLIVEIRA</t>
  </si>
  <si>
    <t>DIONATHAN FRANCO TEIXEIRA</t>
  </si>
  <si>
    <t>SÉRGIO PABLO DOS SANTOS ESCOBAR</t>
  </si>
  <si>
    <t xml:space="preserve">FABRICIO BAIMA PEREIRA </t>
  </si>
  <si>
    <t>DIEGO DE AZEVEDO PAES</t>
  </si>
  <si>
    <t>MARIO AUGUSTO NEVES</t>
  </si>
  <si>
    <t>JULIO CESAR DOS SANTOS DA ROSA</t>
  </si>
  <si>
    <t>VALMIR REZERES CAMARGO</t>
  </si>
  <si>
    <t>ANTÔNIO JESUINO NETO</t>
  </si>
  <si>
    <t>JORGE ALEXANDRE DA LUZ</t>
  </si>
  <si>
    <t>VALTER FORTES BITENCOURT</t>
  </si>
  <si>
    <t>LUIS PAULO BARBOSA</t>
  </si>
  <si>
    <t xml:space="preserve">LUIS MAURICIO SOUZA SILVEIRA </t>
  </si>
  <si>
    <t>LEANDRO FONSECA VOLTA</t>
  </si>
  <si>
    <t>ANDRÉ LUIS LOURENÇO MOREIRA</t>
  </si>
  <si>
    <t>EVERTON DA SILVA DINARTTE</t>
  </si>
  <si>
    <t xml:space="preserve">DOUGLAS MORAES MENDES </t>
  </si>
  <si>
    <t xml:space="preserve">HILTON DOS SANTOS CUNHA </t>
  </si>
  <si>
    <t xml:space="preserve">FABIANO DE ALMEIDA </t>
  </si>
  <si>
    <t xml:space="preserve">LUIZ GUSTAVO DE SOUZA FERNANDES </t>
  </si>
  <si>
    <t>ERNANDEZ NUNES DO AMARAL</t>
  </si>
  <si>
    <t>RENATO SANTOS DA SILVA</t>
  </si>
  <si>
    <t>MAX WILLIAN DA SILVA SOARES</t>
  </si>
  <si>
    <t xml:space="preserve">ADILSON DE SOUZA COSTA </t>
  </si>
  <si>
    <t>LUIS EDUARDO RAMOS FRANCO</t>
  </si>
  <si>
    <t>VANDERCI JOSÉ PEREIRA DE SOUZA</t>
  </si>
  <si>
    <t>RUDNEI PEREIRA MEDINA</t>
  </si>
  <si>
    <t>EDEVALDO SACRAMENTO MORAIS</t>
  </si>
  <si>
    <t>GERSON CAPILHEIRA DE OLIVEIRA</t>
  </si>
  <si>
    <t xml:space="preserve">CARLOS ALBERTO DOS SANTOS </t>
  </si>
  <si>
    <t>CARLOS ALBERTO DE OLIVEIRA CONCEIÇÃO</t>
  </si>
  <si>
    <t>JAIR CAMARGO CABRAL</t>
  </si>
  <si>
    <t>WILLIAN TAROUCO ESPINDOLA</t>
  </si>
  <si>
    <t>ÉVERTON CRISTIANO DA SILVA ACOSTA</t>
  </si>
  <si>
    <t>MARÇO</t>
  </si>
  <si>
    <t>JACKSON BRITTO PACHECO</t>
  </si>
  <si>
    <t>VINICIUS QUADROS DA SILVA</t>
  </si>
  <si>
    <t>JOSÉ DA ROSA</t>
  </si>
  <si>
    <t>CARLOS ROGÉRIO DE VARGAS ANSOLIN</t>
  </si>
  <si>
    <t>ALEXANDRO CORIN DA SILVA</t>
  </si>
  <si>
    <t>JORGE ROBERTO DOS SANTOS DA SILVA</t>
  </si>
  <si>
    <t xml:space="preserve">JONAS DOS SANTOS </t>
  </si>
  <si>
    <t>GABRIEL RAMOS VELOSO</t>
  </si>
  <si>
    <t>ALEX SANDER PEREIRA ZENGER</t>
  </si>
  <si>
    <t>MAICON CARDOSO DE OLIVEIRA</t>
  </si>
  <si>
    <t>BRUNO TEIXEIRA FRANÇA</t>
  </si>
  <si>
    <t>CARLOS CRISTIANO RODRIGUES DUTRA</t>
  </si>
  <si>
    <t xml:space="preserve">JEAN RICHARDI DOS SANTOS </t>
  </si>
  <si>
    <t>PAULO ROBERTO DE SOUZA MONTEIRO</t>
  </si>
  <si>
    <t xml:space="preserve"> EDINEI PEREIRA MEDINA</t>
  </si>
  <si>
    <t>CARLOS ALBERTO DE OLIVEIRA CARDOSO</t>
  </si>
  <si>
    <t>MÁRCIO HENRIQUE CHAVES PADILHA</t>
  </si>
  <si>
    <t>LEANDRO LAUDENIR DUTRA</t>
  </si>
  <si>
    <t xml:space="preserve">FABIANO ROSA OLIVEIRA </t>
  </si>
  <si>
    <t>ALEXANDRE DAMASCO WICHINSKI MARIA</t>
  </si>
  <si>
    <t>MANDADO</t>
  </si>
  <si>
    <t>BAIRRO</t>
  </si>
  <si>
    <t>FARROUPILHA</t>
  </si>
  <si>
    <t>Processos Sei</t>
  </si>
  <si>
    <t>Rótulos de Linha</t>
  </si>
  <si>
    <t>Bairros</t>
  </si>
  <si>
    <t>ANTECENDENTES</t>
  </si>
  <si>
    <t>PROTÁSIO ALVES</t>
  </si>
  <si>
    <t>TOTAL PROCESSOS SEI</t>
  </si>
  <si>
    <t>IND. COM MANDADO</t>
  </si>
  <si>
    <t>PRAIA DE BELAS</t>
  </si>
  <si>
    <t>CENTRO HISTÓRICO</t>
  </si>
  <si>
    <t>BOM FIM</t>
  </si>
  <si>
    <t>MARCÍLIO DIAS</t>
  </si>
  <si>
    <t xml:space="preserve">CIDADE BAIXA </t>
  </si>
  <si>
    <t>MENINO DEUS</t>
  </si>
  <si>
    <t>RIO BRANCO</t>
  </si>
  <si>
    <t>SANTA TEREZA</t>
  </si>
  <si>
    <t>SANTANA</t>
  </si>
  <si>
    <t>AZENHA</t>
  </si>
  <si>
    <t>NÃO CONSTA</t>
  </si>
  <si>
    <t>TOTAL AUTUADOS</t>
  </si>
  <si>
    <t>TOTAL 2º SEI</t>
  </si>
  <si>
    <t>TOTAL 3º SEI</t>
  </si>
  <si>
    <t>TOTAL 4º SEI</t>
  </si>
  <si>
    <t>TOTAL 5º SEI</t>
  </si>
  <si>
    <t>TOTAL BAIRROS</t>
  </si>
  <si>
    <t>TOTAL SEXO</t>
  </si>
  <si>
    <t>Soma de 1º PROCESSO SEI GERADO</t>
  </si>
  <si>
    <t>RODRIGO SANTOS DE BRITO</t>
  </si>
  <si>
    <t>GELSON DOS SANTOS BICA</t>
  </si>
  <si>
    <t>PETRÓPOLIS</t>
  </si>
  <si>
    <t>JEFERSON SILVINO OLIVEIRA DA SILVA</t>
  </si>
  <si>
    <t>EZEQUIEL AMARAL DE OLIVEIRA</t>
  </si>
  <si>
    <t>ERALDO ZEFERINO GOMES</t>
  </si>
  <si>
    <t>ARIAN CONCEIÇÃO SOARES</t>
  </si>
  <si>
    <t>CHARLES SANTOS SOUZA</t>
  </si>
  <si>
    <t>MARCELO GARCIA CARDOSO</t>
  </si>
  <si>
    <t>RAFAEL CAMARGO GOTTEMS</t>
  </si>
  <si>
    <t>RODRIGO SILVA DOS SANTOS</t>
  </si>
  <si>
    <t>TIAGO FONTOURA MONTEZZANA</t>
  </si>
  <si>
    <t>CLEO COSTA FIGUEIREDO</t>
  </si>
  <si>
    <t>Indivíduos Por Bairro</t>
  </si>
  <si>
    <t>Contagem de 1º PROCESSO SEI GERADO</t>
  </si>
  <si>
    <t>v</t>
  </si>
  <si>
    <t>REINCIDENTES</t>
  </si>
  <si>
    <t>SOMA REINCIDEN</t>
  </si>
  <si>
    <t xml:space="preserve">ABORDAGENS PELA GM </t>
  </si>
  <si>
    <t xml:space="preserve">PRISÕES PELA GM </t>
  </si>
  <si>
    <t>TIPO</t>
  </si>
  <si>
    <t>ABORDAGENS SOCIAIS</t>
  </si>
  <si>
    <t>ENCAMINHADOS AO SINE / FASC</t>
  </si>
  <si>
    <t>ENCAMINHADOS PARA CURSO E CAPACITAÇÃO</t>
  </si>
  <si>
    <t>CURSO BÁSICO DE INFORMÁTICA (comparecimento)</t>
  </si>
  <si>
    <t>ADMITIDOS</t>
  </si>
  <si>
    <t>DEMITIDOS</t>
  </si>
  <si>
    <t>TRABALHANDO</t>
  </si>
  <si>
    <t xml:space="preserve">ACOLHIDOS EM ALBERGUE </t>
  </si>
  <si>
    <t>INSCRITOS EM CADASTRO ÚNICO</t>
  </si>
  <si>
    <t>CONFECCIONADOS DOCUMENTOS</t>
  </si>
  <si>
    <t>CESTA BÁSICA</t>
  </si>
  <si>
    <t>ENCAMINHADOS PARA PASSAGEM (TRI)</t>
  </si>
  <si>
    <t>ENCAMINHADOS PARA O EJA</t>
  </si>
  <si>
    <t>NÃO ACEITARAM ENCAMINHAMENTO</t>
  </si>
  <si>
    <t>Nº DE INDIVÍDUOS</t>
  </si>
  <si>
    <t>CURSO EM GESTÃO DE EXCELÊNCIA NO VAREJO (comparecimento)</t>
  </si>
  <si>
    <t>NÃO COMPARECERAM (aos cursos)</t>
  </si>
  <si>
    <t>Soma de Nº DE INDIVÍDUOS</t>
  </si>
  <si>
    <t>Abordagens Sociais</t>
  </si>
  <si>
    <t>Admitidos/Demitidos/Trabalhando</t>
  </si>
  <si>
    <t>Encaminhados para o curso de capacitação</t>
  </si>
  <si>
    <t>Demais encaminhamentos</t>
  </si>
  <si>
    <t>EVANIR MOISES LOPES CARDOSO</t>
  </si>
  <si>
    <t>CRISTO REDENTOR</t>
  </si>
  <si>
    <t>DIEGO FERNANDES DE OLIVEIRA</t>
  </si>
  <si>
    <t>Jogos</t>
  </si>
  <si>
    <t>Contagem de ID FLANELINHA</t>
  </si>
  <si>
    <t>JOGOS</t>
  </si>
  <si>
    <t>ESTÁDIO BEIRA-RIO</t>
  </si>
  <si>
    <t>ANDERSON GUTIERRES CAVALHEIRO</t>
  </si>
  <si>
    <t>JOILSON MIELCZARSLI</t>
  </si>
  <si>
    <t>RESTINGA</t>
  </si>
  <si>
    <t xml:space="preserve">PAULO ROGERIO DOS SANTOS </t>
  </si>
  <si>
    <t xml:space="preserve">CARLOS EDUARDO MORAES PEREIRA </t>
  </si>
  <si>
    <t>CARLOS ROBERTO DORNELES DE LIMA</t>
  </si>
  <si>
    <t>ALTAIR MOREIRA DE MOREIRA</t>
  </si>
  <si>
    <t>VALMIR MACEDO SAMPAIO</t>
  </si>
  <si>
    <t>PAULO CESAR DE ALEMIDA</t>
  </si>
  <si>
    <t>PASSO D'AREIA</t>
  </si>
  <si>
    <t>ABRIL</t>
  </si>
  <si>
    <t>DIEGO AVILA ARAUJO</t>
  </si>
  <si>
    <t>ANACLETO BACHIO</t>
  </si>
  <si>
    <t>CLEBER IGNÁCIO DA SILVEIRA</t>
  </si>
  <si>
    <t>JADERSON CARDOSO DOS SANTOS</t>
  </si>
  <si>
    <t>MAIO</t>
  </si>
  <si>
    <t>ALEXANDRE CONCEIÇÃO DA SILVA</t>
  </si>
  <si>
    <t>6º  PROCESSO SEI GERADO</t>
  </si>
  <si>
    <t>Soma de 6º  PROCESSO SEI GERADO</t>
  </si>
  <si>
    <t>TIAGO DE OLIVEIRA SILVA</t>
  </si>
  <si>
    <t>CARLOS HENRIQUE DA ROSA MARTINS</t>
  </si>
  <si>
    <t>16-25</t>
  </si>
  <si>
    <t>26-36</t>
  </si>
  <si>
    <t>37-47</t>
  </si>
  <si>
    <t>48-58</t>
  </si>
  <si>
    <t>58-68</t>
  </si>
  <si>
    <t>69-79</t>
  </si>
  <si>
    <t>Tabela Dinâmica Faixa Etária</t>
  </si>
  <si>
    <t>Tabela Dinâmica que não está sendo utilizada!(Antiga TD Faixa Etária)</t>
  </si>
  <si>
    <t>MARCELO GOMES DO NASCIMENTO</t>
  </si>
  <si>
    <t>Total Geral</t>
  </si>
  <si>
    <t>NATANAELI MIKAELA GUIMARÃES ASSUNÇÃO</t>
  </si>
  <si>
    <t>ALLEFER FRONTEIRA CARDOSO</t>
  </si>
  <si>
    <t>JUNHO</t>
  </si>
  <si>
    <t xml:space="preserve">PAULO GUTERRES DOS SANTOS </t>
  </si>
  <si>
    <t>AUXILIADORA</t>
  </si>
  <si>
    <t xml:space="preserve">JORGE PEREIRA DOS SANTOS </t>
  </si>
  <si>
    <t>FABIANO MARTINS FREITAS</t>
  </si>
  <si>
    <t>LUIS CESAR DA SILVEIRA NORONHA</t>
  </si>
  <si>
    <t>LUCAS MATOSO DOS SANTOS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</si>
</sst>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Latha"/>
      <family val="2"/>
      <scheme val="minor"/>
    </font>
    <font>
      <sz val="11"/>
      <name val="Latha"/>
      <family val="2"/>
      <scheme val="minor"/>
    </font>
    <font>
      <sz val="8"/>
      <name val="Latha"/>
      <family val="2"/>
      <scheme val="minor"/>
    </font>
    <font>
      <b/>
      <sz val="11"/>
      <color theme="1"/>
      <name val="Latha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FF0000"/>
      <name val="Latha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0000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/>
    <xf numFmtId="0" fontId="0" fillId="0" borderId="0" xfId="0" pivotButton="1"/>
    <xf numFmtId="0" fontId="0" fillId="0" borderId="1" xfId="0" applyBorder="1"/>
    <xf numFmtId="0" fontId="0" fillId="0" borderId="0" xfId="0" applyAlignment="1">
      <alignment horizontal="left"/>
    </xf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0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3" xfId="0" applyBorder="1"/>
    <xf numFmtId="0" fontId="3" fillId="3" borderId="2" xfId="0" applyFont="1" applyFill="1" applyBorder="1" applyAlignment="1">
      <alignment horizontal="center"/>
    </xf>
    <xf numFmtId="0" fontId="0" fillId="3" borderId="4" xfId="0" applyFill="1" applyBorder="1"/>
    <xf numFmtId="0" fontId="0" fillId="0" borderId="5" xfId="0" applyBorder="1"/>
    <xf numFmtId="0" fontId="0" fillId="0" borderId="6" xfId="0" applyBorder="1"/>
    <xf numFmtId="0" fontId="3" fillId="0" borderId="0" xfId="0" applyFont="1" applyFill="1" applyBorder="1"/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4" borderId="0" xfId="0" applyFill="1"/>
    <xf numFmtId="0" fontId="0" fillId="4" borderId="0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Fill="1"/>
    <xf numFmtId="0" fontId="0" fillId="0" borderId="7" xfId="0" applyBorder="1"/>
    <xf numFmtId="0" fontId="0" fillId="0" borderId="8" xfId="0" applyBorder="1"/>
    <xf numFmtId="0" fontId="3" fillId="0" borderId="1" xfId="0" applyFont="1" applyBorder="1"/>
    <xf numFmtId="0" fontId="6" fillId="0" borderId="1" xfId="0" applyFont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Fill="1" applyBorder="1" applyAlignment="1">
      <alignment horizontal="center"/>
    </xf>
  </cellXfs>
  <cellStyles count="1">
    <cellStyle name="Normal" xfId="0" builtinId="0"/>
  </cellStyles>
  <dxfs count="9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9D594B"/>
      <color rgb="FFC298BC"/>
      <color rgb="FF9EB6B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07/relationships/slicerCache" Target="slicerCaches/slicerCach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.xml"/><Relationship Id="rId1" Type="http://schemas.openxmlformats.org/officeDocument/2006/relationships/themeOverride" Target="../theme/themeOverride7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1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.xml"/><Relationship Id="rId1" Type="http://schemas.openxmlformats.org/officeDocument/2006/relationships/themeOverride" Target="../theme/themeOverride9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6.xml"/><Relationship Id="rId1" Type="http://schemas.openxmlformats.org/officeDocument/2006/relationships/themeOverride" Target="../theme/themeOverride11.xml"/></Relationships>
</file>

<file path=xl/charts/_rels/chart1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7.xml"/><Relationship Id="rId1" Type="http://schemas.openxmlformats.org/officeDocument/2006/relationships/themeOverride" Target="../theme/themeOverrid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[Flanelinhas_Dashboard-I.xlsm]CALCULOS!tdindivAutuados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CALCULOS!$C$18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CALCULOS!$B$19:$B$25</c:f>
              <c:strCache>
                <c:ptCount val="6"/>
                <c:pt idx="0">
                  <c:v>ABRIL</c:v>
                </c:pt>
                <c:pt idx="1">
                  <c:v>JUNHO</c:v>
                </c:pt>
                <c:pt idx="2">
                  <c:v>MAIO</c:v>
                </c:pt>
                <c:pt idx="3">
                  <c:v>MARÇO</c:v>
                </c:pt>
                <c:pt idx="4">
                  <c:v>JANEIRO</c:v>
                </c:pt>
                <c:pt idx="5">
                  <c:v>FEVEREIRO</c:v>
                </c:pt>
              </c:strCache>
            </c:strRef>
          </c:cat>
          <c:val>
            <c:numRef>
              <c:f>CALCULOS!$C$19:$C$25</c:f>
              <c:numCache>
                <c:formatCode>General</c:formatCode>
                <c:ptCount val="6"/>
                <c:pt idx="0">
                  <c:v>4</c:v>
                </c:pt>
                <c:pt idx="1">
                  <c:v>5</c:v>
                </c:pt>
                <c:pt idx="2">
                  <c:v>5</c:v>
                </c:pt>
                <c:pt idx="3">
                  <c:v>37</c:v>
                </c:pt>
                <c:pt idx="4">
                  <c:v>59</c:v>
                </c:pt>
                <c:pt idx="5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83-405B-BE4D-9D7EF883CB2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25"/>
        <c:axId val="95212672"/>
        <c:axId val="95522816"/>
      </c:barChart>
      <c:catAx>
        <c:axId val="952126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5522816"/>
        <c:crosses val="autoZero"/>
        <c:auto val="1"/>
        <c:lblAlgn val="ctr"/>
        <c:lblOffset val="100"/>
        <c:noMultiLvlLbl val="0"/>
      </c:catAx>
      <c:valAx>
        <c:axId val="9552281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95212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85000"/>
      </a:schemeClr>
    </a:solidFill>
    <a:ln w="9525" cap="flat" cmpd="sng" algn="ctr">
      <a:solidFill>
        <a:schemeClr val="bg2">
          <a:lumMod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[Flanelinhas_Dashboard-I.xlsm]CALCULOS!tdTot2ºSei</c:name>
    <c:fmtId val="9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CALCULOS!$G$18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CALCULOS!$F$19:$F$25</c:f>
              <c:strCache>
                <c:ptCount val="6"/>
                <c:pt idx="0">
                  <c:v>JUNHO</c:v>
                </c:pt>
                <c:pt idx="1">
                  <c:v>ABRIL</c:v>
                </c:pt>
                <c:pt idx="2">
                  <c:v>JANEIRO</c:v>
                </c:pt>
                <c:pt idx="3">
                  <c:v>MAIO</c:v>
                </c:pt>
                <c:pt idx="4">
                  <c:v>MARÇO</c:v>
                </c:pt>
                <c:pt idx="5">
                  <c:v>FEVEREIRO</c:v>
                </c:pt>
              </c:strCache>
            </c:strRef>
          </c:cat>
          <c:val>
            <c:numRef>
              <c:f>CALCULOS!$G$19:$G$25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5</c:v>
                </c:pt>
                <c:pt idx="4">
                  <c:v>13</c:v>
                </c:pt>
                <c:pt idx="5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83-405B-BE4D-9D7EF883CB2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25"/>
        <c:axId val="95557120"/>
        <c:axId val="95572352"/>
      </c:barChart>
      <c:catAx>
        <c:axId val="955571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5572352"/>
        <c:crosses val="autoZero"/>
        <c:auto val="1"/>
        <c:lblAlgn val="ctr"/>
        <c:lblOffset val="100"/>
        <c:noMultiLvlLbl val="0"/>
      </c:catAx>
      <c:valAx>
        <c:axId val="95572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955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>
        <a:lumMod val="85000"/>
      </a:schemeClr>
    </a:solidFill>
    <a:ln w="9525" cap="flat" cmpd="sng" algn="ctr">
      <a:solidFill>
        <a:srgbClr val="E7E6E6">
          <a:lumMod val="75000"/>
        </a:srgb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[Flanelinhas_Dashboard-I.xlsm]CALCULOS!tdTot3ºSei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CALCULOS!$C$27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CALCULOS!$B$28:$B$34</c:f>
              <c:strCache>
                <c:ptCount val="6"/>
                <c:pt idx="0">
                  <c:v>JANEIRO</c:v>
                </c:pt>
                <c:pt idx="1">
                  <c:v>ABRIL</c:v>
                </c:pt>
                <c:pt idx="2">
                  <c:v>JUNHO</c:v>
                </c:pt>
                <c:pt idx="3">
                  <c:v>MAIO</c:v>
                </c:pt>
                <c:pt idx="4">
                  <c:v>MARÇO</c:v>
                </c:pt>
                <c:pt idx="5">
                  <c:v>FEVEREIRO</c:v>
                </c:pt>
              </c:strCache>
            </c:strRef>
          </c:cat>
          <c:val>
            <c:numRef>
              <c:f>CALCULOS!$C$28:$C$34</c:f>
              <c:numCache>
                <c:formatCode>General</c:formatCode>
                <c:ptCount val="6"/>
                <c:pt idx="2">
                  <c:v>1</c:v>
                </c:pt>
                <c:pt idx="3">
                  <c:v>3</c:v>
                </c:pt>
                <c:pt idx="4">
                  <c:v>5</c:v>
                </c:pt>
                <c:pt idx="5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83-405B-BE4D-9D7EF883CB2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25"/>
        <c:axId val="95606656"/>
        <c:axId val="97854208"/>
      </c:barChart>
      <c:catAx>
        <c:axId val="956066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7854208"/>
        <c:crosses val="autoZero"/>
        <c:auto val="1"/>
        <c:lblAlgn val="ctr"/>
        <c:lblOffset val="100"/>
        <c:noMultiLvlLbl val="0"/>
      </c:catAx>
      <c:valAx>
        <c:axId val="9785420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95606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>
        <a:lumMod val="85000"/>
      </a:schemeClr>
    </a:solidFill>
    <a:ln w="9525" cap="flat" cmpd="sng" algn="ctr">
      <a:solidFill>
        <a:srgbClr val="E7E6E6">
          <a:lumMod val="75000"/>
        </a:srgb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[Flanelinhas_Dashboard-I.xlsm]CALCULOS!tdTot4ºSei</c:name>
    <c:fmtId val="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4472C4">
              <a:lumMod val="60000"/>
              <a:lumOff val="40000"/>
            </a:srgb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000"/>
          </a:solidFill>
          <a:ln>
            <a:noFill/>
          </a:ln>
          <a:effectLst/>
        </c:spPr>
      </c:pivotFmt>
      <c:pivotFmt>
        <c:idx val="5"/>
        <c:spPr>
          <a:solidFill>
            <a:srgbClr val="FFC000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CALCULOS!$G$27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4472C4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A2AC-45AF-9DFB-C7FEFF3DF858}"/>
              </c:ext>
            </c:extLst>
          </c:dPt>
          <c:dPt>
            <c:idx val="4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8C13-4421-97DC-0F8E0D4F199D}"/>
              </c:ext>
            </c:extLst>
          </c:dPt>
          <c:dPt>
            <c:idx val="5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31DF-44AE-8B5C-C103AD7F788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CALCULOS!$F$28:$F$34</c:f>
              <c:strCache>
                <c:ptCount val="6"/>
                <c:pt idx="0">
                  <c:v>JANEIRO</c:v>
                </c:pt>
                <c:pt idx="1">
                  <c:v>ABRIL</c:v>
                </c:pt>
                <c:pt idx="2">
                  <c:v>JUNHO</c:v>
                </c:pt>
                <c:pt idx="3">
                  <c:v>MAIO</c:v>
                </c:pt>
                <c:pt idx="4">
                  <c:v>FEVEREIRO</c:v>
                </c:pt>
                <c:pt idx="5">
                  <c:v>MARÇO</c:v>
                </c:pt>
              </c:strCache>
            </c:strRef>
          </c:cat>
          <c:val>
            <c:numRef>
              <c:f>CALCULOS!$G$28:$G$34</c:f>
              <c:numCache>
                <c:formatCode>General</c:formatCode>
                <c:ptCount val="6"/>
                <c:pt idx="2">
                  <c:v>0</c:v>
                </c:pt>
                <c:pt idx="4">
                  <c:v>2</c:v>
                </c:pt>
                <c:pt idx="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83-405B-BE4D-9D7EF883CB2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25"/>
        <c:axId val="96542720"/>
        <c:axId val="96546176"/>
      </c:barChart>
      <c:catAx>
        <c:axId val="965427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546176"/>
        <c:crosses val="autoZero"/>
        <c:auto val="1"/>
        <c:lblAlgn val="ctr"/>
        <c:lblOffset val="100"/>
        <c:noMultiLvlLbl val="0"/>
      </c:catAx>
      <c:valAx>
        <c:axId val="9654617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96542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>
        <a:lumMod val="85000"/>
      </a:schemeClr>
    </a:solidFill>
    <a:ln w="9525" cap="flat" cmpd="sng" algn="ctr">
      <a:solidFill>
        <a:srgbClr val="E7E6E6">
          <a:lumMod val="75000"/>
        </a:srgb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[Flanelinhas_Dashboard-I.xlsm]CALCULOS!tdTot5ºSei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CALCULOS!$C$36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CALCULOS!$B$37:$B$43</c:f>
              <c:strCache>
                <c:ptCount val="6"/>
                <c:pt idx="0">
                  <c:v>JANEIRO</c:v>
                </c:pt>
                <c:pt idx="1">
                  <c:v>ABRIL</c:v>
                </c:pt>
                <c:pt idx="2">
                  <c:v>FEVEREIRO</c:v>
                </c:pt>
                <c:pt idx="3">
                  <c:v>JUNHO</c:v>
                </c:pt>
                <c:pt idx="4">
                  <c:v>MAIO</c:v>
                </c:pt>
                <c:pt idx="5">
                  <c:v>MARÇO</c:v>
                </c:pt>
              </c:strCache>
            </c:strRef>
          </c:cat>
          <c:val>
            <c:numRef>
              <c:f>CALCULOS!$C$37:$C$43</c:f>
              <c:numCache>
                <c:formatCode>General</c:formatCode>
                <c:ptCount val="6"/>
                <c:pt idx="3">
                  <c:v>0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83-405B-BE4D-9D7EF883CB2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25"/>
        <c:axId val="96589696"/>
        <c:axId val="96591872"/>
      </c:barChart>
      <c:catAx>
        <c:axId val="965896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591872"/>
        <c:crosses val="autoZero"/>
        <c:auto val="1"/>
        <c:lblAlgn val="ctr"/>
        <c:lblOffset val="100"/>
        <c:noMultiLvlLbl val="0"/>
      </c:catAx>
      <c:valAx>
        <c:axId val="965918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96589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>
        <a:lumMod val="85000"/>
      </a:schemeClr>
    </a:solidFill>
    <a:ln w="9525" cap="flat" cmpd="sng" algn="ctr">
      <a:solidFill>
        <a:srgbClr val="E7E6E6">
          <a:lumMod val="75000"/>
        </a:srgb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[Flanelinhas_Dashboard-I.xlsm]CALCULOS!Tabela dinâmica1</c:name>
    <c:fmtId val="9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CALCULOS!$G$36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CALCULOS!$F$37:$F$43</c:f>
              <c:strCache>
                <c:ptCount val="6"/>
                <c:pt idx="0">
                  <c:v>MARÇO</c:v>
                </c:pt>
                <c:pt idx="1">
                  <c:v>FEVEREIRO</c:v>
                </c:pt>
                <c:pt idx="2">
                  <c:v>JANEIRO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</c:strCache>
            </c:strRef>
          </c:cat>
          <c:val>
            <c:numRef>
              <c:f>CALCULOS!$G$37:$G$43</c:f>
              <c:numCache>
                <c:formatCode>General</c:formatCode>
                <c:ptCount val="6"/>
                <c:pt idx="4">
                  <c:v>1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83-405B-BE4D-9D7EF883CB2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25"/>
        <c:axId val="96661504"/>
        <c:axId val="96664192"/>
      </c:barChart>
      <c:catAx>
        <c:axId val="966615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664192"/>
        <c:crosses val="autoZero"/>
        <c:auto val="1"/>
        <c:lblAlgn val="ctr"/>
        <c:lblOffset val="100"/>
        <c:noMultiLvlLbl val="0"/>
      </c:catAx>
      <c:valAx>
        <c:axId val="966641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96661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>
        <a:lumMod val="85000"/>
      </a:schemeClr>
    </a:solidFill>
    <a:ln w="9525" cap="flat" cmpd="sng" algn="ctr">
      <a:solidFill>
        <a:srgbClr val="E7E6E6">
          <a:lumMod val="75000"/>
        </a:srgb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[Flanelinhas_Dashboard-I.xlsm]CALCULOS!tdTotBairros</c:name>
    <c:fmtId val="1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CALCULOS!$C$49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CALCULOS!$B$50:$B$55</c:f>
              <c:strCache>
                <c:ptCount val="5"/>
                <c:pt idx="0">
                  <c:v>CIDADE BAIXA </c:v>
                </c:pt>
                <c:pt idx="1">
                  <c:v>SANTA TEREZA</c:v>
                </c:pt>
                <c:pt idx="2">
                  <c:v>PROTÁSIO ALVES</c:v>
                </c:pt>
                <c:pt idx="3">
                  <c:v>CENTRO HISTÓRICO</c:v>
                </c:pt>
                <c:pt idx="4">
                  <c:v>PRAIA DE BELAS</c:v>
                </c:pt>
              </c:strCache>
            </c:strRef>
          </c:cat>
          <c:val>
            <c:numRef>
              <c:f>CALCULOS!$C$50:$C$55</c:f>
              <c:numCache>
                <c:formatCode>General</c:formatCode>
                <c:ptCount val="5"/>
                <c:pt idx="0">
                  <c:v>10</c:v>
                </c:pt>
                <c:pt idx="1">
                  <c:v>15</c:v>
                </c:pt>
                <c:pt idx="2">
                  <c:v>21</c:v>
                </c:pt>
                <c:pt idx="3">
                  <c:v>41</c:v>
                </c:pt>
                <c:pt idx="4">
                  <c:v>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83-405B-BE4D-9D7EF883CB2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25"/>
        <c:axId val="95348608"/>
        <c:axId val="95363840"/>
      </c:barChart>
      <c:catAx>
        <c:axId val="9534860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5363840"/>
        <c:crosses val="autoZero"/>
        <c:auto val="1"/>
        <c:lblAlgn val="ctr"/>
        <c:lblOffset val="100"/>
        <c:noMultiLvlLbl val="0"/>
      </c:catAx>
      <c:valAx>
        <c:axId val="9536384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95348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>
        <a:lumMod val="85000"/>
      </a:schemeClr>
    </a:solidFill>
    <a:ln w="9525" cap="flat" cmpd="sng" algn="ctr">
      <a:solidFill>
        <a:srgbClr val="E7E6E6">
          <a:lumMod val="75000"/>
        </a:srgb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[Flanelinhas_Dashboard-I.xlsm]CALCULOS!tdTotSexo</c:name>
    <c:fmtId val="18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rgbClr val="FFC000"/>
          </a:solidFill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rgbClr val="FFC000"/>
          </a:solidFill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rgbClr val="FFC000"/>
          </a:solidFill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rgbClr val="FFC000"/>
          </a:solidFill>
          <a:ln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4472C4">
              <a:lumMod val="60000"/>
              <a:lumOff val="40000"/>
            </a:srgbClr>
          </a:solidFill>
          <a:ln w="19050">
            <a:noFill/>
          </a:ln>
          <a:effectLst/>
        </c:spPr>
      </c:pivotFmt>
      <c:pivotFmt>
        <c:idx val="16"/>
        <c:spPr>
          <a:solidFill>
            <a:srgbClr val="5B9BD5">
              <a:lumMod val="75000"/>
            </a:srgbClr>
          </a:solidFill>
          <a:ln w="19050">
            <a:solidFill>
              <a:srgbClr val="4472C4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CALCULOS!$C$69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</c:spPr>
          <c:dPt>
            <c:idx val="0"/>
            <c:bubble3D val="0"/>
            <c:spPr>
              <a:solidFill>
                <a:srgbClr val="4472C4">
                  <a:lumMod val="60000"/>
                  <a:lumOff val="4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A8E-409D-A232-CFD616EBD3F8}"/>
              </c:ext>
            </c:extLst>
          </c:dPt>
          <c:dPt>
            <c:idx val="1"/>
            <c:bubble3D val="0"/>
            <c:spPr>
              <a:solidFill>
                <a:srgbClr val="5B9BD5">
                  <a:lumMod val="75000"/>
                </a:srgbClr>
              </a:solidFill>
              <a:ln w="19050">
                <a:solidFill>
                  <a:srgbClr val="4472C4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A8E-409D-A232-CFD616EBD3F8}"/>
              </c:ext>
            </c:extLst>
          </c:dPt>
          <c:cat>
            <c:strRef>
              <c:f>CALCULOS!$B$70:$B$72</c:f>
              <c:strCache>
                <c:ptCount val="2"/>
                <c:pt idx="0">
                  <c:v>FEMININO</c:v>
                </c:pt>
                <c:pt idx="1">
                  <c:v>MASCULINO </c:v>
                </c:pt>
              </c:strCache>
            </c:strRef>
          </c:cat>
          <c:val>
            <c:numRef>
              <c:f>CALCULOS!$C$70:$C$72</c:f>
              <c:numCache>
                <c:formatCode>General</c:formatCode>
                <c:ptCount val="2"/>
                <c:pt idx="0">
                  <c:v>2</c:v>
                </c:pt>
                <c:pt idx="1">
                  <c:v>188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A8E-409D-A232-CFD616EBD3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  <c:extLst/>
  </c:chart>
  <c:spPr>
    <a:solidFill>
      <a:schemeClr val="bg1">
        <a:lumMod val="85000"/>
      </a:schemeClr>
    </a:solidFill>
    <a:ln w="9525" cap="flat" cmpd="sng" algn="ctr">
      <a:solidFill>
        <a:srgbClr val="E7E6E6">
          <a:lumMod val="75000"/>
        </a:srgb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  <c:userShapes r:id="rId2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[Flanelinhas_Dashboard-I.xlsm]CALCULOS!Tabela dinâmica2</c:name>
    <c:fmtId val="31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2708661417322843"/>
          <c:y val="5.0925793366738262E-2"/>
          <c:w val="0.59697699051800057"/>
          <c:h val="0.4074074074074073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CALCULOS!$C$188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CALCULOS!$B$189:$B$190</c:f>
              <c:strCache>
                <c:ptCount val="1"/>
                <c:pt idx="0">
                  <c:v>ESTÁDIO BEIRA-RIO</c:v>
                </c:pt>
              </c:strCache>
            </c:strRef>
          </c:cat>
          <c:val>
            <c:numRef>
              <c:f>CALCULOS!$C$189:$C$190</c:f>
              <c:numCache>
                <c:formatCode>General</c:formatCode>
                <c:ptCount val="1"/>
                <c:pt idx="0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83-405B-BE4D-9D7EF883CB2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25"/>
        <c:axId val="98484992"/>
        <c:axId val="98487680"/>
      </c:barChart>
      <c:catAx>
        <c:axId val="984849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8487680"/>
        <c:crosses val="autoZero"/>
        <c:auto val="1"/>
        <c:lblAlgn val="ctr"/>
        <c:lblOffset val="100"/>
        <c:noMultiLvlLbl val="0"/>
      </c:catAx>
      <c:valAx>
        <c:axId val="9848768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98484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>
        <a:lumMod val="85000"/>
      </a:schemeClr>
    </a:solidFill>
    <a:ln w="9525" cap="flat" cmpd="sng" algn="ctr">
      <a:solidFill>
        <a:srgbClr val="E7E6E6">
          <a:lumMod val="75000"/>
        </a:srgb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[Flanelinhas_Dashboard-I.xlsm]CALCULOS!Tabela dinâmica3</c:name>
    <c:fmtId val="4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spPr>
          <a:ln>
            <a:solidFill>
              <a:schemeClr val="accent1"/>
            </a:solidFill>
          </a:ln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CALCULOS!$C$199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invertIfNegative val="0"/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CALCULOS!$B$200:$B$206</c:f>
              <c:strCache>
                <c:ptCount val="6"/>
                <c:pt idx="0">
                  <c:v>69-79</c:v>
                </c:pt>
                <c:pt idx="1">
                  <c:v>58-68</c:v>
                </c:pt>
                <c:pt idx="2">
                  <c:v>16-25</c:v>
                </c:pt>
                <c:pt idx="3">
                  <c:v>48-58</c:v>
                </c:pt>
                <c:pt idx="4">
                  <c:v>26-36</c:v>
                </c:pt>
                <c:pt idx="5">
                  <c:v>37-47</c:v>
                </c:pt>
              </c:strCache>
            </c:strRef>
          </c:cat>
          <c:val>
            <c:numRef>
              <c:f>CALCULOS!$C$200:$C$206</c:f>
              <c:numCache>
                <c:formatCode>General</c:formatCode>
                <c:ptCount val="6"/>
                <c:pt idx="0">
                  <c:v>3</c:v>
                </c:pt>
                <c:pt idx="1">
                  <c:v>7</c:v>
                </c:pt>
                <c:pt idx="2">
                  <c:v>21</c:v>
                </c:pt>
                <c:pt idx="3">
                  <c:v>26</c:v>
                </c:pt>
                <c:pt idx="4">
                  <c:v>54</c:v>
                </c:pt>
                <c:pt idx="5">
                  <c:v>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CF-47A7-B078-70B77C76156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8400896"/>
        <c:axId val="98408320"/>
      </c:barChart>
      <c:catAx>
        <c:axId val="98400896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 b="1">
                    <a:solidFill>
                      <a:schemeClr val="bg2">
                        <a:lumMod val="50000"/>
                      </a:schemeClr>
                    </a:solidFill>
                  </a:defRPr>
                </a:pPr>
                <a:r>
                  <a:rPr lang="pt-BR" b="0">
                    <a:solidFill>
                      <a:schemeClr val="bg2">
                        <a:lumMod val="50000"/>
                      </a:schemeClr>
                    </a:solidFill>
                  </a:rPr>
                  <a:t>IDADE</a:t>
                </a:r>
                <a:r>
                  <a:rPr lang="pt-BR" b="1">
                    <a:solidFill>
                      <a:schemeClr val="bg2">
                        <a:lumMod val="50000"/>
                      </a:schemeClr>
                    </a:solidFill>
                  </a:rPr>
                  <a:t> 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98408320"/>
        <c:crosses val="autoZero"/>
        <c:auto val="1"/>
        <c:lblAlgn val="ctr"/>
        <c:lblOffset val="100"/>
        <c:noMultiLvlLbl val="0"/>
      </c:catAx>
      <c:valAx>
        <c:axId val="984083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98400896"/>
        <c:crosses val="autoZero"/>
        <c:crossBetween val="between"/>
      </c:valAx>
      <c:spPr>
        <a:solidFill>
          <a:schemeClr val="bg1">
            <a:lumMod val="85000"/>
          </a:schemeClr>
        </a:solidFill>
      </c:spPr>
    </c:plotArea>
    <c:plotVisOnly val="1"/>
    <c:dispBlanksAs val="gap"/>
    <c:showDLblsOverMax val="0"/>
  </c:chart>
  <c:spPr>
    <a:solidFill>
      <a:schemeClr val="bg1">
        <a:lumMod val="85000"/>
      </a:schemeClr>
    </a:solidFill>
  </c:spPr>
  <c:printSettings>
    <c:headerFooter/>
    <c:pageMargins b="0.78740157499999996" l="0.511811024" r="0.511811024" t="0.78740157499999996" header="0.31496062000000008" footer="0.31496062000000008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[Flanelinhas_Dashboard-I.xlsm]Calculos_Atend_Sociais!Tabela dinâmica1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rgbClr val="FFC000"/>
          </a:solidFill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rgbClr val="FFC000"/>
          </a:solidFill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rgbClr val="FFC000"/>
          </a:solidFill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rgbClr val="FFC000"/>
          </a:solidFill>
          <a:ln w="12700">
            <a:solidFill>
              <a:sysClr val="window" lastClr="FFFFFF"/>
            </a:solidFill>
          </a:ln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C000"/>
          </a:solidFill>
          <a:ln w="12700">
            <a:solidFill>
              <a:sysClr val="window" lastClr="FFFFFF"/>
            </a:solidFill>
          </a:ln>
          <a:effectLst/>
        </c:spPr>
      </c:pivotFmt>
      <c:pivotFmt>
        <c:idx val="16"/>
        <c:spPr>
          <a:solidFill>
            <a:srgbClr val="70AD47">
              <a:lumMod val="60000"/>
              <a:lumOff val="40000"/>
            </a:srgbClr>
          </a:solidFill>
          <a:ln w="12700">
            <a:solidFill>
              <a:sysClr val="window" lastClr="FFFFFF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4.5348031496062986E-2"/>
          <c:y val="6.5281899109792291E-2"/>
          <c:w val="0.37806451612903236"/>
          <c:h val="0.86943620178041547"/>
        </c:manualLayout>
      </c:layout>
      <c:doughnutChart>
        <c:varyColors val="1"/>
        <c:ser>
          <c:idx val="0"/>
          <c:order val="0"/>
          <c:tx>
            <c:strRef>
              <c:f>Calculos_Atend_Sociais!$B$4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C000"/>
            </a:solidFill>
            <a:ln w="12700">
              <a:solidFill>
                <a:sysClr val="window" lastClr="FFFFFF"/>
              </a:solidFill>
            </a:ln>
          </c:spPr>
          <c:dPt>
            <c:idx val="0"/>
            <c:bubble3D val="0"/>
            <c:spPr>
              <a:solidFill>
                <a:srgbClr val="FFC000"/>
              </a:solidFill>
              <a:ln w="12700">
                <a:solidFill>
                  <a:sysClr val="window" lastClr="FFFFFF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A8E-409D-A232-CFD616EBD3F8}"/>
              </c:ext>
            </c:extLst>
          </c:dPt>
          <c:dPt>
            <c:idx val="1"/>
            <c:bubble3D val="0"/>
            <c:spPr>
              <a:solidFill>
                <a:srgbClr val="70AD47">
                  <a:lumMod val="60000"/>
                  <a:lumOff val="40000"/>
                </a:srgbClr>
              </a:solidFill>
              <a:ln w="12700">
                <a:solidFill>
                  <a:sysClr val="window" lastClr="FFFFFF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A8E-409D-A232-CFD616EBD3F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Calculos_Atend_Sociais!$A$5:$A$7</c:f>
              <c:strCache>
                <c:ptCount val="2"/>
                <c:pt idx="0">
                  <c:v>ENCAMINHADOS AO SINE / FASC</c:v>
                </c:pt>
                <c:pt idx="1">
                  <c:v>NÃO ACEITARAM ENCAMINHAMENTO</c:v>
                </c:pt>
              </c:strCache>
            </c:strRef>
          </c:cat>
          <c:val>
            <c:numRef>
              <c:f>Calculos_Atend_Sociais!$B$5:$B$7</c:f>
              <c:numCache>
                <c:formatCode>General</c:formatCode>
                <c:ptCount val="2"/>
                <c:pt idx="0">
                  <c:v>216</c:v>
                </c:pt>
                <c:pt idx="1">
                  <c:v>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A8E-409D-A232-CFD616EBD3F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4560543568417577"/>
          <c:y val="0.28631348425196856"/>
          <c:w val="0.48807808114894741"/>
          <c:h val="0.350033487193411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  <c:extLst/>
  </c:chart>
  <c:spPr>
    <a:solidFill>
      <a:schemeClr val="bg1">
        <a:lumMod val="85000"/>
      </a:schemeClr>
    </a:solidFill>
    <a:ln w="9525" cap="flat" cmpd="sng" algn="ctr">
      <a:solidFill>
        <a:srgbClr val="E7E6E6">
          <a:lumMod val="75000"/>
        </a:srgb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  <c:userShapes r:id="rId2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[Flanelinhas_Dashboard-I.xlsm]Calculos_Atend_Sociais!Tabela dinâmica2</c:name>
    <c:fmtId val="15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rgbClr val="FFC000"/>
          </a:solidFill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rgbClr val="FFC000"/>
          </a:solidFill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rgbClr val="FFC000"/>
          </a:solidFill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rgbClr val="FFC000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rgbClr val="70AD47">
              <a:lumMod val="60000"/>
              <a:lumOff val="40000"/>
            </a:srgbClr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rgbClr val="FFC000"/>
          </a:solidFill>
          <a:ln w="12700">
            <a:solidFill>
              <a:sysClr val="window" lastClr="FFFFFF"/>
            </a:solidFill>
          </a:ln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FC000"/>
          </a:solidFill>
          <a:ln w="12700">
            <a:solidFill>
              <a:sysClr val="window" lastClr="FFFFFF"/>
            </a:solidFill>
          </a:ln>
          <a:effectLst/>
        </c:spPr>
      </c:pivotFmt>
      <c:pivotFmt>
        <c:idx val="19"/>
        <c:spPr>
          <a:solidFill>
            <a:srgbClr val="70AD47">
              <a:lumMod val="60000"/>
              <a:lumOff val="40000"/>
            </a:srgbClr>
          </a:solidFill>
          <a:ln w="12700">
            <a:solidFill>
              <a:sysClr val="window" lastClr="FFFFFF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4.5348031496062986E-2"/>
          <c:y val="6.5281899109792291E-2"/>
          <c:w val="0.37806451612903236"/>
          <c:h val="0.86943620178041547"/>
        </c:manualLayout>
      </c:layout>
      <c:doughnutChart>
        <c:varyColors val="1"/>
        <c:ser>
          <c:idx val="0"/>
          <c:order val="0"/>
          <c:tx>
            <c:strRef>
              <c:f>Calculos_Atend_Sociais!$B$16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C000"/>
            </a:solidFill>
            <a:ln w="12700">
              <a:solidFill>
                <a:sysClr val="window" lastClr="FFFFFF"/>
              </a:solidFill>
            </a:ln>
          </c:spPr>
          <c:dPt>
            <c:idx val="0"/>
            <c:bubble3D val="0"/>
            <c:spPr>
              <a:solidFill>
                <a:srgbClr val="FFC000"/>
              </a:solidFill>
              <a:ln w="12700">
                <a:solidFill>
                  <a:sysClr val="window" lastClr="FFFFFF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A8E-409D-A232-CFD616EBD3F8}"/>
              </c:ext>
            </c:extLst>
          </c:dPt>
          <c:dPt>
            <c:idx val="1"/>
            <c:bubble3D val="0"/>
            <c:spPr>
              <a:solidFill>
                <a:srgbClr val="70AD47">
                  <a:lumMod val="60000"/>
                  <a:lumOff val="40000"/>
                </a:srgbClr>
              </a:solidFill>
              <a:ln w="12700">
                <a:solidFill>
                  <a:sysClr val="window" lastClr="FFFFFF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A8E-409D-A232-CFD616EBD3F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Calculos_Atend_Sociais!$A$17:$A$19</c:f>
              <c:strCache>
                <c:ptCount val="2"/>
                <c:pt idx="0">
                  <c:v>DEMITIDOS</c:v>
                </c:pt>
                <c:pt idx="1">
                  <c:v>TRABALHANDO</c:v>
                </c:pt>
              </c:strCache>
            </c:strRef>
          </c:cat>
          <c:val>
            <c:numRef>
              <c:f>Calculos_Atend_Sociais!$B$17:$B$19</c:f>
              <c:numCache>
                <c:formatCode>General</c:formatCode>
                <c:ptCount val="2"/>
                <c:pt idx="0">
                  <c:v>1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A8E-409D-A232-CFD616EBD3F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0911006546644832"/>
          <c:y val="0.29882830969267149"/>
          <c:w val="0.26002886888525195"/>
          <c:h val="0.350033487193411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  <c:extLst/>
  </c:chart>
  <c:spPr>
    <a:solidFill>
      <a:schemeClr val="bg1">
        <a:lumMod val="85000"/>
      </a:schemeClr>
    </a:solidFill>
    <a:ln w="12700" cap="flat" cmpd="sng" algn="ctr">
      <a:solidFill>
        <a:srgbClr val="E7E6E6">
          <a:lumMod val="75000"/>
        </a:srgb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[Flanelinhas_Dashboard-I.xlsm]Calculos_Atend_Sociais!Tabela dinâmica3</c:name>
    <c:fmtId val="22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rgbClr val="FFC000"/>
          </a:solidFill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rgbClr val="FFC000"/>
          </a:solidFill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rgbClr val="FFC000"/>
          </a:solidFill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rgbClr val="FFC000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rgbClr val="70AD47">
              <a:lumMod val="60000"/>
              <a:lumOff val="40000"/>
            </a:srgbClr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rgbClr val="FFC000"/>
          </a:solidFill>
          <a:ln w="12700">
            <a:solidFill>
              <a:sysClr val="window" lastClr="FFFFFF"/>
            </a:solidFill>
          </a:ln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44546A">
              <a:lumMod val="60000"/>
              <a:lumOff val="40000"/>
            </a:srgbClr>
          </a:solidFill>
          <a:ln w="12700">
            <a:solidFill>
              <a:sysClr val="window" lastClr="FFFFFF"/>
            </a:solidFill>
          </a:ln>
          <a:effectLst/>
        </c:spPr>
      </c:pivotFmt>
      <c:pivotFmt>
        <c:idx val="19"/>
        <c:spPr>
          <a:solidFill>
            <a:srgbClr val="70AD47">
              <a:lumMod val="60000"/>
              <a:lumOff val="40000"/>
            </a:srgbClr>
          </a:solidFill>
          <a:ln w="12700">
            <a:solidFill>
              <a:sysClr val="window" lastClr="FFFFFF"/>
            </a:solidFill>
          </a:ln>
          <a:effectLst/>
        </c:spPr>
      </c:pivotFmt>
      <c:pivotFmt>
        <c:idx val="20"/>
      </c:pivotFmt>
    </c:pivotFmts>
    <c:plotArea>
      <c:layout>
        <c:manualLayout>
          <c:layoutTarget val="inner"/>
          <c:xMode val="edge"/>
          <c:yMode val="edge"/>
          <c:x val="4.5348031496062986E-2"/>
          <c:y val="6.5281899109792291E-2"/>
          <c:w val="0.37806451612903236"/>
          <c:h val="0.86943620178041547"/>
        </c:manualLayout>
      </c:layout>
      <c:doughnutChart>
        <c:varyColors val="1"/>
        <c:ser>
          <c:idx val="0"/>
          <c:order val="0"/>
          <c:tx>
            <c:strRef>
              <c:f>Calculos_Atend_Sociais!$B$28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C000"/>
            </a:solidFill>
            <a:ln w="12700">
              <a:solidFill>
                <a:sysClr val="window" lastClr="FFFFFF"/>
              </a:solidFill>
            </a:ln>
          </c:spPr>
          <c:dPt>
            <c:idx val="0"/>
            <c:bubble3D val="0"/>
            <c:spPr>
              <a:solidFill>
                <a:srgbClr val="44546A">
                  <a:lumMod val="60000"/>
                  <a:lumOff val="40000"/>
                </a:srgbClr>
              </a:solidFill>
              <a:ln w="12700">
                <a:solidFill>
                  <a:sysClr val="window" lastClr="FFFFFF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A8E-409D-A232-CFD616EBD3F8}"/>
              </c:ext>
            </c:extLst>
          </c:dPt>
          <c:dPt>
            <c:idx val="1"/>
            <c:bubble3D val="0"/>
            <c:spPr>
              <a:solidFill>
                <a:srgbClr val="70AD47">
                  <a:lumMod val="60000"/>
                  <a:lumOff val="40000"/>
                </a:srgbClr>
              </a:solidFill>
              <a:ln w="12700">
                <a:solidFill>
                  <a:sysClr val="window" lastClr="FFFFFF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A8E-409D-A232-CFD616EBD3F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Calculos_Atend_Sociais!$A$29:$A$32</c:f>
              <c:strCache>
                <c:ptCount val="3"/>
                <c:pt idx="0">
                  <c:v>CURSO BÁSICO DE INFORMÁTICA (comparecimento)</c:v>
                </c:pt>
                <c:pt idx="1">
                  <c:v>CURSO EM GESTÃO DE EXCELÊNCIA NO VAREJO (comparecimento)</c:v>
                </c:pt>
                <c:pt idx="2">
                  <c:v>NÃO COMPARECERAM (aos cursos)</c:v>
                </c:pt>
              </c:strCache>
            </c:strRef>
          </c:cat>
          <c:val>
            <c:numRef>
              <c:f>Calculos_Atend_Sociais!$B$29:$B$32</c:f>
              <c:numCache>
                <c:formatCode>General</c:formatCode>
                <c:ptCount val="3"/>
                <c:pt idx="0">
                  <c:v>6</c:v>
                </c:pt>
                <c:pt idx="1">
                  <c:v>3</c:v>
                </c:pt>
                <c:pt idx="2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A8E-409D-A232-CFD616EBD3F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658067375886526"/>
          <c:y val="0.12369040583136326"/>
          <c:w val="0.49097995090016372"/>
          <c:h val="0.7762307919621749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  <c:extLst/>
  </c:chart>
  <c:spPr>
    <a:solidFill>
      <a:schemeClr val="bg1">
        <a:lumMod val="85000"/>
      </a:schemeClr>
    </a:solidFill>
    <a:ln w="9525" cap="flat" cmpd="sng" algn="ctr">
      <a:solidFill>
        <a:srgbClr val="E7E6E6">
          <a:lumMod val="75000"/>
        </a:srgb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  <c:userShapes r:id="rId2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[Flanelinhas_Dashboard-I.xlsm]Calculos_Atend_Sociais!Tabela dinâmica4</c:name>
    <c:fmtId val="27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rgbClr val="FFC000"/>
          </a:solidFill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rgbClr val="FFC000"/>
          </a:solidFill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rgbClr val="FFC000"/>
          </a:solidFill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rgbClr val="FFC000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rgbClr val="70AD47">
              <a:lumMod val="60000"/>
              <a:lumOff val="40000"/>
            </a:srgbClr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ln w="12700">
            <a:solidFill>
              <a:sysClr val="window" lastClr="FFFFFF"/>
            </a:solidFill>
          </a:ln>
          <a:effectLst>
            <a:glow>
              <a:srgbClr val="4472C4">
                <a:alpha val="40000"/>
              </a:srgbClr>
            </a:glow>
            <a:softEdge rad="0"/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>
              <a:softEdge rad="901700"/>
            </a:effectLst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9D594B"/>
          </a:solidFill>
          <a:ln w="12700">
            <a:solidFill>
              <a:sysClr val="window" lastClr="FFFFFF"/>
            </a:solidFill>
          </a:ln>
          <a:effectLst>
            <a:glow>
              <a:srgbClr val="4472C4">
                <a:alpha val="40000"/>
              </a:srgbClr>
            </a:glow>
            <a:softEdge rad="0"/>
          </a:effectLst>
        </c:spPr>
      </c:pivotFmt>
      <c:pivotFmt>
        <c:idx val="19"/>
        <c:spPr>
          <a:solidFill>
            <a:srgbClr val="C298BC"/>
          </a:solidFill>
          <a:ln w="12700">
            <a:solidFill>
              <a:sysClr val="window" lastClr="FFFFFF"/>
            </a:solidFill>
          </a:ln>
          <a:effectLst>
            <a:glow>
              <a:srgbClr val="4472C4">
                <a:alpha val="40000"/>
              </a:srgbClr>
            </a:glow>
            <a:softEdge rad="0"/>
          </a:effectLst>
        </c:spPr>
      </c:pivotFmt>
      <c:pivotFmt>
        <c:idx val="20"/>
        <c:spPr>
          <a:solidFill>
            <a:srgbClr val="FFC000"/>
          </a:solidFill>
          <a:ln w="12700">
            <a:solidFill>
              <a:sysClr val="window" lastClr="FFFFFF"/>
            </a:solidFill>
          </a:ln>
          <a:effectLst>
            <a:glow>
              <a:srgbClr val="4472C4">
                <a:alpha val="40000"/>
              </a:srgbClr>
            </a:glow>
            <a:softEdge rad="0"/>
          </a:effectLst>
        </c:spPr>
      </c:pivotFmt>
      <c:pivotFmt>
        <c:idx val="21"/>
        <c:spPr>
          <a:solidFill>
            <a:srgbClr val="44546A">
              <a:lumMod val="60000"/>
              <a:lumOff val="40000"/>
            </a:srgbClr>
          </a:solidFill>
          <a:ln w="12700">
            <a:solidFill>
              <a:sysClr val="window" lastClr="FFFFFF"/>
            </a:solidFill>
          </a:ln>
          <a:effectLst>
            <a:glow>
              <a:srgbClr val="4472C4">
                <a:alpha val="40000"/>
              </a:srgbClr>
            </a:glow>
            <a:softEdge rad="0"/>
          </a:effectLst>
        </c:spPr>
      </c:pivotFmt>
      <c:pivotFmt>
        <c:idx val="22"/>
        <c:spPr>
          <a:solidFill>
            <a:srgbClr val="70AD47">
              <a:lumMod val="60000"/>
              <a:lumOff val="40000"/>
            </a:srgbClr>
          </a:solidFill>
          <a:ln w="12700">
            <a:solidFill>
              <a:sysClr val="window" lastClr="FFFFFF"/>
            </a:solidFill>
          </a:ln>
          <a:effectLst>
            <a:glow>
              <a:srgbClr val="4472C4">
                <a:alpha val="40000"/>
              </a:srgbClr>
            </a:glow>
            <a:softEdge rad="0"/>
          </a:effectLst>
        </c:spPr>
      </c:pivotFmt>
      <c:pivotFmt>
        <c:idx val="23"/>
        <c:spPr>
          <a:solidFill>
            <a:srgbClr val="ED7D31">
              <a:lumMod val="60000"/>
              <a:lumOff val="40000"/>
            </a:srgbClr>
          </a:solidFill>
          <a:ln w="12700">
            <a:solidFill>
              <a:sysClr val="window" lastClr="FFFFFF"/>
            </a:solidFill>
          </a:ln>
          <a:effectLst>
            <a:glow>
              <a:srgbClr val="4472C4">
                <a:alpha val="40000"/>
              </a:srgbClr>
            </a:glow>
            <a:softEdge rad="0"/>
          </a:effectLst>
        </c:spPr>
      </c:pivotFmt>
    </c:pivotFmts>
    <c:plotArea>
      <c:layout>
        <c:manualLayout>
          <c:layoutTarget val="inner"/>
          <c:xMode val="edge"/>
          <c:yMode val="edge"/>
          <c:x val="8.576445717403168E-2"/>
          <c:y val="9.3823877068557937E-2"/>
          <c:w val="0.38359247135842894"/>
          <c:h val="0.8311170212765957"/>
        </c:manualLayout>
      </c:layout>
      <c:doughnutChart>
        <c:varyColors val="1"/>
        <c:ser>
          <c:idx val="0"/>
          <c:order val="0"/>
          <c:tx>
            <c:strRef>
              <c:f>Calculos_Atend_Sociais!$B$42</c:f>
              <c:strCache>
                <c:ptCount val="1"/>
                <c:pt idx="0">
                  <c:v>Total</c:v>
                </c:pt>
              </c:strCache>
            </c:strRef>
          </c:tx>
          <c:spPr>
            <a:ln w="12700">
              <a:solidFill>
                <a:sysClr val="window" lastClr="FFFFFF"/>
              </a:solidFill>
            </a:ln>
            <a:effectLst>
              <a:glow>
                <a:srgbClr val="4472C4">
                  <a:alpha val="40000"/>
                </a:srgbClr>
              </a:glow>
              <a:softEdge rad="0"/>
            </a:effectLst>
          </c:spPr>
          <c:dPt>
            <c:idx val="0"/>
            <c:bubble3D val="0"/>
            <c:spPr>
              <a:solidFill>
                <a:srgbClr val="9D594B"/>
              </a:solidFill>
              <a:ln w="12700">
                <a:solidFill>
                  <a:sysClr val="window" lastClr="FFFFFF"/>
                </a:solidFill>
              </a:ln>
              <a:effectLst>
                <a:glow>
                  <a:srgbClr val="4472C4">
                    <a:alpha val="40000"/>
                  </a:srgbClr>
                </a:glow>
                <a:softEdge rad="0"/>
              </a:effectLst>
            </c:spPr>
            <c:extLst>
              <c:ext xmlns:c16="http://schemas.microsoft.com/office/drawing/2014/chart" uri="{C3380CC4-5D6E-409C-BE32-E72D297353CC}">
                <c16:uniqueId val="{00000001-AA8E-409D-A232-CFD616EBD3F8}"/>
              </c:ext>
            </c:extLst>
          </c:dPt>
          <c:dPt>
            <c:idx val="1"/>
            <c:bubble3D val="0"/>
            <c:spPr>
              <a:solidFill>
                <a:srgbClr val="C298BC"/>
              </a:solidFill>
              <a:ln w="12700">
                <a:solidFill>
                  <a:sysClr val="window" lastClr="FFFFFF"/>
                </a:solidFill>
              </a:ln>
              <a:effectLst>
                <a:glow>
                  <a:srgbClr val="4472C4">
                    <a:alpha val="40000"/>
                  </a:srgbClr>
                </a:glow>
                <a:softEdge rad="0"/>
              </a:effectLst>
            </c:spPr>
            <c:extLst>
              <c:ext xmlns:c16="http://schemas.microsoft.com/office/drawing/2014/chart" uri="{C3380CC4-5D6E-409C-BE32-E72D297353CC}">
                <c16:uniqueId val="{00000003-AA8E-409D-A232-CFD616EBD3F8}"/>
              </c:ext>
            </c:extLst>
          </c:dPt>
          <c:dPt>
            <c:idx val="2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 w="12700">
                <a:solidFill>
                  <a:sysClr val="window" lastClr="FFFFFF"/>
                </a:solidFill>
              </a:ln>
              <a:effectLst>
                <a:glow>
                  <a:srgbClr val="4472C4">
                    <a:alpha val="40000"/>
                  </a:srgbClr>
                </a:glow>
                <a:softEdge rad="0"/>
              </a:effectLst>
            </c:spPr>
            <c:extLst>
              <c:ext xmlns:c16="http://schemas.microsoft.com/office/drawing/2014/chart" uri="{C3380CC4-5D6E-409C-BE32-E72D297353CC}">
                <c16:uniqueId val="{00000005-77CD-4530-997F-6D4A5C658AEE}"/>
              </c:ext>
            </c:extLst>
          </c:dPt>
          <c:dPt>
            <c:idx val="3"/>
            <c:bubble3D val="0"/>
            <c:spPr>
              <a:solidFill>
                <a:srgbClr val="70AD47">
                  <a:lumMod val="60000"/>
                  <a:lumOff val="40000"/>
                </a:srgbClr>
              </a:solidFill>
              <a:ln w="12700">
                <a:solidFill>
                  <a:sysClr val="window" lastClr="FFFFFF"/>
                </a:solidFill>
              </a:ln>
              <a:effectLst>
                <a:glow>
                  <a:srgbClr val="4472C4">
                    <a:alpha val="40000"/>
                  </a:srgbClr>
                </a:glow>
                <a:softEdge rad="0"/>
              </a:effectLst>
            </c:spPr>
            <c:extLst>
              <c:ext xmlns:c16="http://schemas.microsoft.com/office/drawing/2014/chart" uri="{C3380CC4-5D6E-409C-BE32-E72D297353CC}">
                <c16:uniqueId val="{00000015-2260-4FFB-AE4A-5EE73A139C1E}"/>
              </c:ext>
            </c:extLst>
          </c:dPt>
          <c:dPt>
            <c:idx val="4"/>
            <c:bubble3D val="0"/>
            <c:spPr>
              <a:solidFill>
                <a:srgbClr val="FFC000"/>
              </a:solidFill>
              <a:ln w="12700">
                <a:solidFill>
                  <a:sysClr val="window" lastClr="FFFFFF"/>
                </a:solidFill>
              </a:ln>
              <a:effectLst>
                <a:glow>
                  <a:srgbClr val="4472C4">
                    <a:alpha val="40000"/>
                  </a:srgbClr>
                </a:glow>
                <a:softEdge rad="0"/>
              </a:effectLst>
            </c:spPr>
            <c:extLst>
              <c:ext xmlns:c16="http://schemas.microsoft.com/office/drawing/2014/chart" uri="{C3380CC4-5D6E-409C-BE32-E72D297353CC}">
                <c16:uniqueId val="{00000013-2260-4FFB-AE4A-5EE73A139C1E}"/>
              </c:ext>
            </c:extLst>
          </c:dPt>
          <c:dPt>
            <c:idx val="5"/>
            <c:bubble3D val="0"/>
            <c:spPr>
              <a:solidFill>
                <a:srgbClr val="44546A">
                  <a:lumMod val="60000"/>
                  <a:lumOff val="40000"/>
                </a:srgbClr>
              </a:solidFill>
              <a:ln w="12700">
                <a:solidFill>
                  <a:sysClr val="window" lastClr="FFFFFF"/>
                </a:solidFill>
              </a:ln>
              <a:effectLst>
                <a:glow>
                  <a:srgbClr val="4472C4">
                    <a:alpha val="40000"/>
                  </a:srgbClr>
                </a:glow>
                <a:softEdge rad="0"/>
              </a:effectLst>
            </c:spPr>
            <c:extLst>
              <c:ext xmlns:c16="http://schemas.microsoft.com/office/drawing/2014/chart" uri="{C3380CC4-5D6E-409C-BE32-E72D297353CC}">
                <c16:uniqueId val="{00000014-2260-4FFB-AE4A-5EE73A139C1E}"/>
              </c:ext>
            </c:extLst>
          </c:dPt>
          <c:dLbls>
            <c:spPr>
              <a:noFill/>
              <a:ln>
                <a:noFill/>
              </a:ln>
              <a:effectLst>
                <a:softEdge rad="901700"/>
              </a:effectLst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Calculos_Atend_Sociais!$A$43:$A$49</c:f>
              <c:strCache>
                <c:ptCount val="6"/>
                <c:pt idx="0">
                  <c:v>ACOLHIDOS EM ALBERGUE </c:v>
                </c:pt>
                <c:pt idx="1">
                  <c:v>CESTA BÁSICA</c:v>
                </c:pt>
                <c:pt idx="2">
                  <c:v>CONFECCIONADOS DOCUMENTOS</c:v>
                </c:pt>
                <c:pt idx="3">
                  <c:v>ENCAMINHADOS PARA O EJA</c:v>
                </c:pt>
                <c:pt idx="4">
                  <c:v>ENCAMINHADOS PARA PASSAGEM (TRI)</c:v>
                </c:pt>
                <c:pt idx="5">
                  <c:v>INSCRITOS EM CADASTRO ÚNICO</c:v>
                </c:pt>
              </c:strCache>
            </c:strRef>
          </c:cat>
          <c:val>
            <c:numRef>
              <c:f>Calculos_Atend_Sociais!$B$43:$B$49</c:f>
              <c:numCache>
                <c:formatCode>General</c:formatCode>
                <c:ptCount val="6"/>
                <c:pt idx="0">
                  <c:v>2</c:v>
                </c:pt>
                <c:pt idx="1">
                  <c:v>2</c:v>
                </c:pt>
                <c:pt idx="2">
                  <c:v>8</c:v>
                </c:pt>
                <c:pt idx="3">
                  <c:v>6</c:v>
                </c:pt>
                <c:pt idx="4">
                  <c:v>22</c:v>
                </c:pt>
                <c:pt idx="5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A8E-409D-A232-CFD616EBD3F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0193171485724652"/>
          <c:y val="5.0362490149724208E-2"/>
          <c:w val="0.48074695399163486"/>
          <c:h val="0.918039795114263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  <c:extLst/>
  </c:chart>
  <c:spPr>
    <a:solidFill>
      <a:sysClr val="window" lastClr="FFFFFF">
        <a:lumMod val="85000"/>
      </a:sysClr>
    </a:solidFill>
    <a:ln w="9525">
      <a:solidFill>
        <a:srgbClr val="E7E6E6">
          <a:lumMod val="75000"/>
        </a:srgbClr>
      </a:solidFill>
    </a:ln>
    <a:effectLst>
      <a:softEdge rad="0"/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  <c:userShapes r:id="rId2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chart" Target="../charts/chart5.xml"/><Relationship Id="rId18" Type="http://schemas.openxmlformats.org/officeDocument/2006/relationships/image" Target="../media/image13.jpe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chart" Target="../charts/chart4.xml"/><Relationship Id="rId17" Type="http://schemas.openxmlformats.org/officeDocument/2006/relationships/image" Target="../media/image12.svg"/><Relationship Id="rId2" Type="http://schemas.openxmlformats.org/officeDocument/2006/relationships/image" Target="../media/image2.svg"/><Relationship Id="rId16" Type="http://schemas.openxmlformats.org/officeDocument/2006/relationships/image" Target="../media/image11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chart" Target="../charts/chart3.xml"/><Relationship Id="rId5" Type="http://schemas.openxmlformats.org/officeDocument/2006/relationships/image" Target="../media/image5.png"/><Relationship Id="rId15" Type="http://schemas.openxmlformats.org/officeDocument/2006/relationships/image" Target="../media/image10.svg"/><Relationship Id="rId10" Type="http://schemas.openxmlformats.org/officeDocument/2006/relationships/chart" Target="../charts/chart2.xml"/><Relationship Id="rId19" Type="http://schemas.openxmlformats.org/officeDocument/2006/relationships/chart" Target="../charts/chart6.xml"/><Relationship Id="rId4" Type="http://schemas.openxmlformats.org/officeDocument/2006/relationships/image" Target="../media/image4.svg"/><Relationship Id="rId9" Type="http://schemas.openxmlformats.org/officeDocument/2006/relationships/chart" Target="../charts/chart1.xml"/><Relationship Id="rId14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5" Type="http://schemas.openxmlformats.org/officeDocument/2006/relationships/chart" Target="../charts/chart10.xml"/><Relationship Id="rId4" Type="http://schemas.openxmlformats.org/officeDocument/2006/relationships/image" Target="../media/image13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image" Target="../media/image15.svg"/><Relationship Id="rId1" Type="http://schemas.openxmlformats.org/officeDocument/2006/relationships/image" Target="../media/image14.png"/><Relationship Id="rId4" Type="http://schemas.openxmlformats.org/officeDocument/2006/relationships/image" Target="../media/image17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svg"/><Relationship Id="rId13" Type="http://schemas.openxmlformats.org/officeDocument/2006/relationships/image" Target="../media/image26.png"/><Relationship Id="rId3" Type="http://schemas.openxmlformats.org/officeDocument/2006/relationships/chart" Target="../charts/chart11.xml"/><Relationship Id="rId7" Type="http://schemas.openxmlformats.org/officeDocument/2006/relationships/image" Target="../media/image22.png"/><Relationship Id="rId12" Type="http://schemas.openxmlformats.org/officeDocument/2006/relationships/chart" Target="../charts/chart14.xml"/><Relationship Id="rId2" Type="http://schemas.openxmlformats.org/officeDocument/2006/relationships/image" Target="../media/image19.svg"/><Relationship Id="rId1" Type="http://schemas.openxmlformats.org/officeDocument/2006/relationships/image" Target="../media/image18.png"/><Relationship Id="rId6" Type="http://schemas.openxmlformats.org/officeDocument/2006/relationships/image" Target="../media/image21.svg"/><Relationship Id="rId11" Type="http://schemas.openxmlformats.org/officeDocument/2006/relationships/image" Target="../media/image25.svg"/><Relationship Id="rId5" Type="http://schemas.openxmlformats.org/officeDocument/2006/relationships/image" Target="../media/image20.png"/><Relationship Id="rId10" Type="http://schemas.openxmlformats.org/officeDocument/2006/relationships/image" Target="../media/image24.png"/><Relationship Id="rId4" Type="http://schemas.openxmlformats.org/officeDocument/2006/relationships/chart" Target="../charts/chart12.xml"/><Relationship Id="rId9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29</xdr:row>
      <xdr:rowOff>0</xdr:rowOff>
    </xdr:from>
    <xdr:to>
      <xdr:col>23</xdr:col>
      <xdr:colOff>19050</xdr:colOff>
      <xdr:row>38</xdr:row>
      <xdr:rowOff>17993</xdr:rowOff>
    </xdr:to>
    <xdr:sp macro="" textlink="CALCULOS!B3">
      <xdr:nvSpPr>
        <xdr:cNvPr id="5" name="CaixaDeTexto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1200150" y="1657350"/>
          <a:ext cx="790575" cy="5323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7FEAABF5-1087-49F6-A8B5-3EC1946D57EF}" type="TxLink">
            <a:rPr lang="en-US" sz="2400" b="0" i="0" u="none" strike="noStrike">
              <a:solidFill>
                <a:schemeClr val="accent5">
                  <a:lumMod val="75000"/>
                </a:schemeClr>
              </a:solidFill>
              <a:latin typeface="Latha"/>
              <a:cs typeface="Latha"/>
            </a:rPr>
            <a:pPr/>
            <a:t>258</a:t>
          </a:fld>
          <a:endParaRPr lang="pt-BR" sz="2400">
            <a:solidFill>
              <a:schemeClr val="accent5">
                <a:lumMod val="75000"/>
              </a:schemeClr>
            </a:solidFill>
          </a:endParaRPr>
        </a:p>
      </xdr:txBody>
    </xdr:sp>
    <xdr:clientData/>
  </xdr:twoCellAnchor>
  <xdr:twoCellAnchor>
    <xdr:from>
      <xdr:col>41</xdr:col>
      <xdr:colOff>0</xdr:colOff>
      <xdr:row>29</xdr:row>
      <xdr:rowOff>21164</xdr:rowOff>
    </xdr:from>
    <xdr:to>
      <xdr:col>48</xdr:col>
      <xdr:colOff>19050</xdr:colOff>
      <xdr:row>39</xdr:row>
      <xdr:rowOff>0</xdr:rowOff>
    </xdr:to>
    <xdr:sp macro="" textlink="BD!Q4">
      <xdr:nvSpPr>
        <xdr:cNvPr id="6" name="CaixaDeTexto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3514725" y="1678514"/>
          <a:ext cx="619125" cy="5503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1FBDBADC-2FE7-4E21-80A1-A1BB8CB5FBE0}" type="TxLink">
            <a:rPr lang="en-US" sz="2400" b="0" i="0" u="none" strike="noStrike">
              <a:solidFill>
                <a:schemeClr val="accent5">
                  <a:lumMod val="75000"/>
                </a:schemeClr>
              </a:solidFill>
              <a:latin typeface="Latha"/>
              <a:ea typeface="+mn-ea"/>
              <a:cs typeface="Latha"/>
            </a:rPr>
            <a:pPr marL="0" indent="0"/>
            <a:t>68</a:t>
          </a:fld>
          <a:endParaRPr lang="pt-BR" sz="2400" b="0" i="0" u="none" strike="noStrike">
            <a:solidFill>
              <a:schemeClr val="accent5">
                <a:lumMod val="75000"/>
              </a:schemeClr>
            </a:solidFill>
            <a:latin typeface="Latha"/>
            <a:ea typeface="+mn-ea"/>
            <a:cs typeface="Latha"/>
          </a:endParaRPr>
        </a:p>
      </xdr:txBody>
    </xdr:sp>
    <xdr:clientData/>
  </xdr:twoCellAnchor>
  <xdr:twoCellAnchor>
    <xdr:from>
      <xdr:col>61</xdr:col>
      <xdr:colOff>0</xdr:colOff>
      <xdr:row>29</xdr:row>
      <xdr:rowOff>0</xdr:rowOff>
    </xdr:from>
    <xdr:to>
      <xdr:col>72</xdr:col>
      <xdr:colOff>0</xdr:colOff>
      <xdr:row>38</xdr:row>
      <xdr:rowOff>37041</xdr:rowOff>
    </xdr:to>
    <xdr:sp macro="" textlink="CALCULOS!C8">
      <xdr:nvSpPr>
        <xdr:cNvPr id="7" name="CaixaDeTexto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5229225" y="1657350"/>
          <a:ext cx="942975" cy="5513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9CD96754-4821-4450-B70A-D8846881E6D1}" type="TxLink">
            <a:rPr lang="en-US" sz="2400" b="0" i="0" u="none" strike="noStrike">
              <a:solidFill>
                <a:schemeClr val="accent5">
                  <a:lumMod val="75000"/>
                </a:schemeClr>
              </a:solidFill>
              <a:latin typeface="Latha"/>
              <a:ea typeface="+mn-ea"/>
              <a:cs typeface="Latha"/>
            </a:rPr>
            <a:pPr marL="0" indent="0"/>
            <a:t>162</a:t>
          </a:fld>
          <a:endParaRPr lang="pt-BR" sz="2400" b="0" i="0" u="none" strike="noStrike">
            <a:solidFill>
              <a:schemeClr val="accent5">
                <a:lumMod val="75000"/>
              </a:schemeClr>
            </a:solidFill>
            <a:latin typeface="Latha"/>
            <a:ea typeface="+mn-ea"/>
            <a:cs typeface="Latha"/>
          </a:endParaRPr>
        </a:p>
      </xdr:txBody>
    </xdr:sp>
    <xdr:clientData/>
  </xdr:twoCellAnchor>
  <xdr:twoCellAnchor>
    <xdr:from>
      <xdr:col>94</xdr:col>
      <xdr:colOff>25400</xdr:colOff>
      <xdr:row>29</xdr:row>
      <xdr:rowOff>3175</xdr:rowOff>
    </xdr:from>
    <xdr:to>
      <xdr:col>106</xdr:col>
      <xdr:colOff>0</xdr:colOff>
      <xdr:row>38</xdr:row>
      <xdr:rowOff>0</xdr:rowOff>
    </xdr:to>
    <xdr:sp macro="" textlink="CALCULOS!B13">
      <xdr:nvSpPr>
        <xdr:cNvPr id="8" name="CaixaDeTexto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8083550" y="1660525"/>
          <a:ext cx="1003300" cy="511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ABAB038-D7A1-44E0-ABC7-E6A8255E66F6}" type="TxLink">
            <a:rPr lang="en-US" sz="2400" b="0" i="0" u="none" strike="noStrike">
              <a:solidFill>
                <a:schemeClr val="accent5">
                  <a:lumMod val="75000"/>
                </a:schemeClr>
              </a:solidFill>
              <a:latin typeface="Latha"/>
              <a:cs typeface="Latha"/>
            </a:rPr>
            <a:pPr/>
            <a:t>8</a:t>
          </a:fld>
          <a:endParaRPr lang="pt-BR" sz="2400">
            <a:solidFill>
              <a:schemeClr val="accent5">
                <a:lumMod val="75000"/>
              </a:schemeClr>
            </a:solidFill>
          </a:endParaRPr>
        </a:p>
      </xdr:txBody>
    </xdr:sp>
    <xdr:clientData/>
  </xdr:twoCellAnchor>
  <xdr:twoCellAnchor editAs="oneCell">
    <xdr:from>
      <xdr:col>8</xdr:col>
      <xdr:colOff>0</xdr:colOff>
      <xdr:row>30</xdr:row>
      <xdr:rowOff>21168</xdr:rowOff>
    </xdr:from>
    <xdr:to>
      <xdr:col>14</xdr:col>
      <xdr:colOff>39241</xdr:colOff>
      <xdr:row>40</xdr:row>
      <xdr:rowOff>9525</xdr:rowOff>
    </xdr:to>
    <xdr:pic>
      <xdr:nvPicPr>
        <xdr:cNvPr id="10" name="Gráfico 9" descr="Livros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85800" y="1735668"/>
          <a:ext cx="553591" cy="559857"/>
        </a:xfrm>
        <a:prstGeom prst="rect">
          <a:avLst/>
        </a:prstGeom>
      </xdr:spPr>
    </xdr:pic>
    <xdr:clientData/>
  </xdr:twoCellAnchor>
  <xdr:twoCellAnchor editAs="oneCell">
    <xdr:from>
      <xdr:col>35</xdr:col>
      <xdr:colOff>0</xdr:colOff>
      <xdr:row>29</xdr:row>
      <xdr:rowOff>52435</xdr:rowOff>
    </xdr:from>
    <xdr:to>
      <xdr:col>41</xdr:col>
      <xdr:colOff>41551</xdr:colOff>
      <xdr:row>40</xdr:row>
      <xdr:rowOff>0</xdr:rowOff>
    </xdr:to>
    <xdr:pic>
      <xdr:nvPicPr>
        <xdr:cNvPr id="12" name="Gráfico 11" descr="Usuários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000375" y="1709785"/>
          <a:ext cx="555901" cy="576215"/>
        </a:xfrm>
        <a:prstGeom prst="rect">
          <a:avLst/>
        </a:prstGeom>
      </xdr:spPr>
    </xdr:pic>
    <xdr:clientData/>
  </xdr:twoCellAnchor>
  <xdr:twoCellAnchor editAs="oneCell">
    <xdr:from>
      <xdr:col>55</xdr:col>
      <xdr:colOff>78185</xdr:colOff>
      <xdr:row>31</xdr:row>
      <xdr:rowOff>0</xdr:rowOff>
    </xdr:from>
    <xdr:to>
      <xdr:col>62</xdr:col>
      <xdr:colOff>0</xdr:colOff>
      <xdr:row>39</xdr:row>
      <xdr:rowOff>38100</xdr:rowOff>
    </xdr:to>
    <xdr:pic>
      <xdr:nvPicPr>
        <xdr:cNvPr id="14" name="Gráfico 13" descr="Impressão digital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793060" y="1771650"/>
          <a:ext cx="521890" cy="495300"/>
        </a:xfrm>
        <a:prstGeom prst="rect">
          <a:avLst/>
        </a:prstGeom>
      </xdr:spPr>
    </xdr:pic>
    <xdr:clientData/>
  </xdr:twoCellAnchor>
  <xdr:twoCellAnchor editAs="oneCell">
    <xdr:from>
      <xdr:col>87</xdr:col>
      <xdr:colOff>7187</xdr:colOff>
      <xdr:row>29</xdr:row>
      <xdr:rowOff>34649</xdr:rowOff>
    </xdr:from>
    <xdr:to>
      <xdr:col>94</xdr:col>
      <xdr:colOff>0</xdr:colOff>
      <xdr:row>40</xdr:row>
      <xdr:rowOff>0</xdr:rowOff>
    </xdr:to>
    <xdr:pic>
      <xdr:nvPicPr>
        <xdr:cNvPr id="16" name="Gráfico 15" descr="Cadeia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465262" y="1691999"/>
          <a:ext cx="592888" cy="594001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25</xdr:row>
      <xdr:rowOff>0</xdr:rowOff>
    </xdr:from>
    <xdr:to>
      <xdr:col>32</xdr:col>
      <xdr:colOff>69850</xdr:colOff>
      <xdr:row>30</xdr:row>
      <xdr:rowOff>3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 txBox="1"/>
      </xdr:nvSpPr>
      <xdr:spPr>
        <a:xfrm>
          <a:off x="6350" y="1428750"/>
          <a:ext cx="2501900" cy="28575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000" b="1">
              <a:solidFill>
                <a:schemeClr val="accent5">
                  <a:lumMod val="75000"/>
                </a:schemeClr>
              </a:solidFill>
            </a:rPr>
            <a:t>PROCESSOS SEI GERADOS PELA GM</a:t>
          </a:r>
        </a:p>
      </xdr:txBody>
    </xdr:sp>
    <xdr:clientData/>
  </xdr:twoCellAnchor>
  <xdr:twoCellAnchor>
    <xdr:from>
      <xdr:col>29</xdr:col>
      <xdr:colOff>9525</xdr:colOff>
      <xdr:row>25</xdr:row>
      <xdr:rowOff>0</xdr:rowOff>
    </xdr:from>
    <xdr:to>
      <xdr:col>51</xdr:col>
      <xdr:colOff>9525</xdr:colOff>
      <xdr:row>30</xdr:row>
      <xdr:rowOff>50802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 txBox="1"/>
      </xdr:nvSpPr>
      <xdr:spPr>
        <a:xfrm>
          <a:off x="2495550" y="1428750"/>
          <a:ext cx="1885950" cy="33655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000" b="1">
              <a:solidFill>
                <a:schemeClr val="accent5">
                  <a:lumMod val="75000"/>
                </a:schemeClr>
              </a:solidFill>
              <a:latin typeface="+mn-lt"/>
              <a:ea typeface="+mn-ea"/>
              <a:cs typeface="+mn-cs"/>
            </a:rPr>
            <a:t>REINCIDENTES</a:t>
          </a:r>
        </a:p>
        <a:p>
          <a:pPr algn="ctr"/>
          <a:endParaRPr lang="pt-BR" sz="1000" b="1">
            <a:solidFill>
              <a:srgbClr val="FF0000"/>
            </a:solidFill>
          </a:endParaRPr>
        </a:p>
      </xdr:txBody>
    </xdr:sp>
    <xdr:clientData/>
  </xdr:twoCellAnchor>
  <xdr:twoCellAnchor>
    <xdr:from>
      <xdr:col>50</xdr:col>
      <xdr:colOff>40217</xdr:colOff>
      <xdr:row>25</xdr:row>
      <xdr:rowOff>0</xdr:rowOff>
    </xdr:from>
    <xdr:to>
      <xdr:col>84</xdr:col>
      <xdr:colOff>19050</xdr:colOff>
      <xdr:row>30</xdr:row>
      <xdr:rowOff>8467</xdr:rowOff>
    </xdr:to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 txBox="1"/>
      </xdr:nvSpPr>
      <xdr:spPr>
        <a:xfrm>
          <a:off x="3850217" y="1428750"/>
          <a:ext cx="2569633" cy="294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000" b="1">
              <a:solidFill>
                <a:schemeClr val="accent5">
                  <a:lumMod val="75000"/>
                </a:schemeClr>
              </a:solidFill>
            </a:rPr>
            <a:t>INDIVÍDUOS</a:t>
          </a:r>
          <a:r>
            <a:rPr lang="pt-BR" sz="1000" b="1" baseline="0">
              <a:solidFill>
                <a:schemeClr val="accent5">
                  <a:lumMod val="75000"/>
                </a:schemeClr>
              </a:solidFill>
            </a:rPr>
            <a:t> COM ANTECEDENTES</a:t>
          </a:r>
          <a:endParaRPr lang="pt-BR" sz="1000" b="1">
            <a:solidFill>
              <a:schemeClr val="accent5">
                <a:lumMod val="75000"/>
              </a:schemeClr>
            </a:solidFill>
          </a:endParaRPr>
        </a:p>
      </xdr:txBody>
    </xdr:sp>
    <xdr:clientData/>
  </xdr:twoCellAnchor>
  <xdr:twoCellAnchor>
    <xdr:from>
      <xdr:col>82</xdr:col>
      <xdr:colOff>0</xdr:colOff>
      <xdr:row>24</xdr:row>
      <xdr:rowOff>42333</xdr:rowOff>
    </xdr:from>
    <xdr:to>
      <xdr:col>108</xdr:col>
      <xdr:colOff>0</xdr:colOff>
      <xdr:row>28</xdr:row>
      <xdr:rowOff>31750</xdr:rowOff>
    </xdr:to>
    <xdr:sp macro="" textlink="">
      <xdr:nvSpPr>
        <xdr:cNvPr id="20" name="CaixaDeTexto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 txBox="1"/>
      </xdr:nvSpPr>
      <xdr:spPr>
        <a:xfrm>
          <a:off x="6248400" y="1413933"/>
          <a:ext cx="1981200" cy="2180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000" b="1">
              <a:solidFill>
                <a:schemeClr val="accent5">
                  <a:lumMod val="75000"/>
                </a:schemeClr>
              </a:solidFill>
            </a:rPr>
            <a:t>INDIVÍDUOS COM MANDADO</a:t>
          </a:r>
        </a:p>
      </xdr:txBody>
    </xdr:sp>
    <xdr:clientData/>
  </xdr:twoCellAnchor>
  <xdr:twoCellAnchor>
    <xdr:from>
      <xdr:col>1</xdr:col>
      <xdr:colOff>0</xdr:colOff>
      <xdr:row>58</xdr:row>
      <xdr:rowOff>0</xdr:rowOff>
    </xdr:from>
    <xdr:to>
      <xdr:col>47</xdr:col>
      <xdr:colOff>19050</xdr:colOff>
      <xdr:row>94</xdr:row>
      <xdr:rowOff>1800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49</xdr:col>
      <xdr:colOff>58012</xdr:colOff>
      <xdr:row>58</xdr:row>
      <xdr:rowOff>25400</xdr:rowOff>
    </xdr:from>
    <xdr:to>
      <xdr:col>96</xdr:col>
      <xdr:colOff>0</xdr:colOff>
      <xdr:row>94</xdr:row>
      <xdr:rowOff>25400</xdr:rowOff>
    </xdr:to>
    <xdr:graphicFrame macro="">
      <xdr:nvGraphicFramePr>
        <xdr:cNvPr id="22" name="Gráfico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98</xdr:col>
      <xdr:colOff>6350</xdr:colOff>
      <xdr:row>58</xdr:row>
      <xdr:rowOff>0</xdr:rowOff>
    </xdr:from>
    <xdr:to>
      <xdr:col>144</xdr:col>
      <xdr:colOff>24538</xdr:colOff>
      <xdr:row>94</xdr:row>
      <xdr:rowOff>25400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1</xdr:colOff>
      <xdr:row>107</xdr:row>
      <xdr:rowOff>0</xdr:rowOff>
    </xdr:from>
    <xdr:to>
      <xdr:col>47</xdr:col>
      <xdr:colOff>1</xdr:colOff>
      <xdr:row>142</xdr:row>
      <xdr:rowOff>25401</xdr:rowOff>
    </xdr:to>
    <xdr:graphicFrame macro="">
      <xdr:nvGraphicFramePr>
        <xdr:cNvPr id="24" name="Gráfico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49</xdr:col>
      <xdr:colOff>16737</xdr:colOff>
      <xdr:row>106</xdr:row>
      <xdr:rowOff>49543</xdr:rowOff>
    </xdr:from>
    <xdr:to>
      <xdr:col>95</xdr:col>
      <xdr:colOff>25400</xdr:colOff>
      <xdr:row>142</xdr:row>
      <xdr:rowOff>50800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36550</xdr:colOff>
      <xdr:row>53</xdr:row>
      <xdr:rowOff>9525</xdr:rowOff>
    </xdr:from>
    <xdr:to>
      <xdr:col>47</xdr:col>
      <xdr:colOff>26111</xdr:colOff>
      <xdr:row>58</xdr:row>
      <xdr:rowOff>6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GrpSpPr/>
      </xdr:nvGrpSpPr>
      <xdr:grpSpPr>
        <a:xfrm>
          <a:off x="36550" y="3038475"/>
          <a:ext cx="3570961" cy="276231"/>
          <a:chOff x="28422" y="2406350"/>
          <a:chExt cx="3898287" cy="191969"/>
        </a:xfrm>
      </xdr:grpSpPr>
      <xdr:cxnSp macro="">
        <xdr:nvCxnSpPr>
          <xdr:cNvPr id="29" name="Linha">
            <a:extLst>
              <a:ext uri="{FF2B5EF4-FFF2-40B4-BE49-F238E27FC236}">
                <a16:creationId xmlns:a16="http://schemas.microsoft.com/office/drawing/2014/main" id="{00000000-0008-0000-0400-00001D000000}"/>
              </a:ext>
            </a:extLst>
          </xdr:cNvPr>
          <xdr:cNvCxnSpPr/>
        </xdr:nvCxnSpPr>
        <xdr:spPr>
          <a:xfrm flipV="1">
            <a:off x="92896" y="2598318"/>
            <a:ext cx="3833813" cy="1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0" name="Título">
            <a:extLst>
              <a:ext uri="{FF2B5EF4-FFF2-40B4-BE49-F238E27FC236}">
                <a16:creationId xmlns:a16="http://schemas.microsoft.com/office/drawing/2014/main" id="{00000000-0008-0000-0400-00001E000000}"/>
              </a:ext>
            </a:extLst>
          </xdr:cNvPr>
          <xdr:cNvSpPr txBox="1"/>
        </xdr:nvSpPr>
        <xdr:spPr>
          <a:xfrm>
            <a:off x="28422" y="2406350"/>
            <a:ext cx="3789800" cy="1741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pt-BR" sz="1100" b="1">
                <a:solidFill>
                  <a:schemeClr val="accent5">
                    <a:lumMod val="75000"/>
                  </a:schemeClr>
                </a:solidFill>
              </a:rPr>
              <a:t>Nº</a:t>
            </a:r>
            <a:r>
              <a:rPr lang="pt-BR" sz="1100" b="1" baseline="0">
                <a:solidFill>
                  <a:schemeClr val="accent5">
                    <a:lumMod val="75000"/>
                  </a:schemeClr>
                </a:solidFill>
              </a:rPr>
              <a:t> DE 1ºs PROCESSOS SEI GERADOS</a:t>
            </a:r>
            <a:endParaRPr lang="pt-BR" sz="1100" b="1">
              <a:solidFill>
                <a:schemeClr val="accent5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49</xdr:col>
      <xdr:colOff>0</xdr:colOff>
      <xdr:row>53</xdr:row>
      <xdr:rowOff>44450</xdr:rowOff>
    </xdr:from>
    <xdr:to>
      <xdr:col>95</xdr:col>
      <xdr:colOff>42735</xdr:colOff>
      <xdr:row>58</xdr:row>
      <xdr:rowOff>32259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GrpSpPr/>
      </xdr:nvGrpSpPr>
      <xdr:grpSpPr>
        <a:xfrm>
          <a:off x="3733800" y="3073400"/>
          <a:ext cx="3547935" cy="273559"/>
          <a:chOff x="11322" y="2410446"/>
          <a:chExt cx="3887045" cy="209944"/>
        </a:xfrm>
      </xdr:grpSpPr>
      <xdr:cxnSp macro="">
        <xdr:nvCxnSpPr>
          <xdr:cNvPr id="33" name="Linha">
            <a:extLst>
              <a:ext uri="{FF2B5EF4-FFF2-40B4-BE49-F238E27FC236}">
                <a16:creationId xmlns:a16="http://schemas.microsoft.com/office/drawing/2014/main" id="{00000000-0008-0000-0400-000021000000}"/>
              </a:ext>
            </a:extLst>
          </xdr:cNvPr>
          <xdr:cNvCxnSpPr/>
        </xdr:nvCxnSpPr>
        <xdr:spPr>
          <a:xfrm>
            <a:off x="64555" y="2620390"/>
            <a:ext cx="3833812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4" name="Título">
            <a:extLst>
              <a:ext uri="{FF2B5EF4-FFF2-40B4-BE49-F238E27FC236}">
                <a16:creationId xmlns:a16="http://schemas.microsoft.com/office/drawing/2014/main" id="{00000000-0008-0000-0400-000022000000}"/>
              </a:ext>
            </a:extLst>
          </xdr:cNvPr>
          <xdr:cNvSpPr txBox="1"/>
        </xdr:nvSpPr>
        <xdr:spPr>
          <a:xfrm>
            <a:off x="11322" y="2410446"/>
            <a:ext cx="3803650" cy="19288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pt-BR" sz="1100" b="1">
                <a:solidFill>
                  <a:schemeClr val="accent5">
                    <a:lumMod val="75000"/>
                  </a:schemeClr>
                </a:solidFill>
              </a:rPr>
              <a:t>Nº</a:t>
            </a:r>
            <a:r>
              <a:rPr lang="pt-BR" sz="1100" b="1" baseline="0">
                <a:solidFill>
                  <a:schemeClr val="accent5">
                    <a:lumMod val="75000"/>
                  </a:schemeClr>
                </a:solidFill>
              </a:rPr>
              <a:t> DE 2ºs PROCESSOS SEI GERADOS</a:t>
            </a:r>
            <a:endParaRPr lang="pt-BR" sz="1100" b="1">
              <a:solidFill>
                <a:schemeClr val="accent5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96</xdr:col>
      <xdr:colOff>19050</xdr:colOff>
      <xdr:row>53</xdr:row>
      <xdr:rowOff>0</xdr:rowOff>
    </xdr:from>
    <xdr:to>
      <xdr:col>144</xdr:col>
      <xdr:colOff>0</xdr:colOff>
      <xdr:row>57</xdr:row>
      <xdr:rowOff>57147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GrpSpPr/>
      </xdr:nvGrpSpPr>
      <xdr:grpSpPr>
        <a:xfrm>
          <a:off x="7334250" y="3028950"/>
          <a:ext cx="3638550" cy="285747"/>
          <a:chOff x="108675" y="2469153"/>
          <a:chExt cx="3877497" cy="456392"/>
        </a:xfrm>
      </xdr:grpSpPr>
      <xdr:cxnSp macro="">
        <xdr:nvCxnSpPr>
          <xdr:cNvPr id="40" name="Linha">
            <a:extLst>
              <a:ext uri="{FF2B5EF4-FFF2-40B4-BE49-F238E27FC236}">
                <a16:creationId xmlns:a16="http://schemas.microsoft.com/office/drawing/2014/main" id="{00000000-0008-0000-0400-000028000000}"/>
              </a:ext>
            </a:extLst>
          </xdr:cNvPr>
          <xdr:cNvCxnSpPr/>
        </xdr:nvCxnSpPr>
        <xdr:spPr>
          <a:xfrm>
            <a:off x="235438" y="2925545"/>
            <a:ext cx="3750734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1" name="Título">
            <a:extLst>
              <a:ext uri="{FF2B5EF4-FFF2-40B4-BE49-F238E27FC236}">
                <a16:creationId xmlns:a16="http://schemas.microsoft.com/office/drawing/2014/main" id="{00000000-0008-0000-0400-000029000000}"/>
              </a:ext>
            </a:extLst>
          </xdr:cNvPr>
          <xdr:cNvSpPr txBox="1"/>
        </xdr:nvSpPr>
        <xdr:spPr>
          <a:xfrm>
            <a:off x="108675" y="2469153"/>
            <a:ext cx="3803650" cy="359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pt-BR" sz="1100" b="1">
                <a:solidFill>
                  <a:schemeClr val="accent5">
                    <a:lumMod val="75000"/>
                  </a:schemeClr>
                </a:solidFill>
              </a:rPr>
              <a:t> Nº</a:t>
            </a:r>
            <a:r>
              <a:rPr lang="pt-BR" sz="1100" b="1" baseline="0">
                <a:solidFill>
                  <a:schemeClr val="accent5">
                    <a:lumMod val="75000"/>
                  </a:schemeClr>
                </a:solidFill>
              </a:rPr>
              <a:t> DE 3ºs PROCESSOS SEI GERADOS</a:t>
            </a:r>
            <a:endParaRPr lang="pt-BR" sz="1100" b="1">
              <a:solidFill>
                <a:schemeClr val="accent5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2850</xdr:colOff>
      <xdr:row>102</xdr:row>
      <xdr:rowOff>0</xdr:rowOff>
    </xdr:from>
    <xdr:to>
      <xdr:col>47</xdr:col>
      <xdr:colOff>0</xdr:colOff>
      <xdr:row>107</xdr:row>
      <xdr:rowOff>29291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GrpSpPr/>
      </xdr:nvGrpSpPr>
      <xdr:grpSpPr>
        <a:xfrm>
          <a:off x="2850" y="5829300"/>
          <a:ext cx="3578550" cy="315041"/>
          <a:chOff x="351139" y="2309021"/>
          <a:chExt cx="3905278" cy="343124"/>
        </a:xfrm>
      </xdr:grpSpPr>
      <xdr:cxnSp macro="">
        <xdr:nvCxnSpPr>
          <xdr:cNvPr id="43" name="Linha">
            <a:extLst>
              <a:ext uri="{FF2B5EF4-FFF2-40B4-BE49-F238E27FC236}">
                <a16:creationId xmlns:a16="http://schemas.microsoft.com/office/drawing/2014/main" id="{00000000-0008-0000-0400-00002B000000}"/>
              </a:ext>
            </a:extLst>
          </xdr:cNvPr>
          <xdr:cNvCxnSpPr/>
        </xdr:nvCxnSpPr>
        <xdr:spPr>
          <a:xfrm>
            <a:off x="422605" y="2610647"/>
            <a:ext cx="3833812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4" name="Título">
            <a:extLst>
              <a:ext uri="{FF2B5EF4-FFF2-40B4-BE49-F238E27FC236}">
                <a16:creationId xmlns:a16="http://schemas.microsoft.com/office/drawing/2014/main" id="{00000000-0008-0000-0400-00002C000000}"/>
              </a:ext>
            </a:extLst>
          </xdr:cNvPr>
          <xdr:cNvSpPr txBox="1"/>
        </xdr:nvSpPr>
        <xdr:spPr>
          <a:xfrm>
            <a:off x="351139" y="2309021"/>
            <a:ext cx="3803650" cy="34312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pt-BR" sz="1100" b="1">
                <a:solidFill>
                  <a:schemeClr val="accent5">
                    <a:lumMod val="75000"/>
                  </a:schemeClr>
                </a:solidFill>
              </a:rPr>
              <a:t>Nº</a:t>
            </a:r>
            <a:r>
              <a:rPr lang="pt-BR" sz="1100" b="1" baseline="0">
                <a:solidFill>
                  <a:schemeClr val="accent5">
                    <a:lumMod val="75000"/>
                  </a:schemeClr>
                </a:solidFill>
              </a:rPr>
              <a:t> DE 4ºs PROCESSOS SEI GERADOS</a:t>
            </a:r>
            <a:endParaRPr lang="pt-BR" sz="1100" b="1">
              <a:solidFill>
                <a:schemeClr val="accent5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48</xdr:col>
      <xdr:colOff>25666</xdr:colOff>
      <xdr:row>101</xdr:row>
      <xdr:rowOff>44453</xdr:rowOff>
    </xdr:from>
    <xdr:to>
      <xdr:col>95</xdr:col>
      <xdr:colOff>19050</xdr:colOff>
      <xdr:row>106</xdr:row>
      <xdr:rowOff>44450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GrpSpPr/>
      </xdr:nvGrpSpPr>
      <xdr:grpSpPr>
        <a:xfrm>
          <a:off x="3683266" y="5816603"/>
          <a:ext cx="3574784" cy="285747"/>
          <a:chOff x="424217" y="2317031"/>
          <a:chExt cx="3894577" cy="299308"/>
        </a:xfrm>
      </xdr:grpSpPr>
      <xdr:cxnSp macro="">
        <xdr:nvCxnSpPr>
          <xdr:cNvPr id="50" name="Linha">
            <a:extLst>
              <a:ext uri="{FF2B5EF4-FFF2-40B4-BE49-F238E27FC236}">
                <a16:creationId xmlns:a16="http://schemas.microsoft.com/office/drawing/2014/main" id="{00000000-0008-0000-0400-000032000000}"/>
              </a:ext>
            </a:extLst>
          </xdr:cNvPr>
          <xdr:cNvCxnSpPr/>
        </xdr:nvCxnSpPr>
        <xdr:spPr>
          <a:xfrm>
            <a:off x="484982" y="2610643"/>
            <a:ext cx="3833812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1" name="Título">
            <a:extLst>
              <a:ext uri="{FF2B5EF4-FFF2-40B4-BE49-F238E27FC236}">
                <a16:creationId xmlns:a16="http://schemas.microsoft.com/office/drawing/2014/main" id="{00000000-0008-0000-0400-000033000000}"/>
              </a:ext>
            </a:extLst>
          </xdr:cNvPr>
          <xdr:cNvSpPr txBox="1"/>
        </xdr:nvSpPr>
        <xdr:spPr>
          <a:xfrm>
            <a:off x="424217" y="2317031"/>
            <a:ext cx="3803650" cy="2993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pt-BR" sz="1100" b="1">
                <a:solidFill>
                  <a:schemeClr val="accent5">
                    <a:lumMod val="75000"/>
                  </a:schemeClr>
                </a:solidFill>
              </a:rPr>
              <a:t>Nº</a:t>
            </a:r>
            <a:r>
              <a:rPr lang="pt-BR" sz="1100" b="1" baseline="0">
                <a:solidFill>
                  <a:schemeClr val="accent5">
                    <a:lumMod val="75000"/>
                  </a:schemeClr>
                </a:solidFill>
              </a:rPr>
              <a:t> DE 5ºs PROCESSOS SEI GERADOS</a:t>
            </a:r>
            <a:endParaRPr lang="pt-BR" sz="1100" b="1">
              <a:solidFill>
                <a:schemeClr val="accent5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66675</xdr:colOff>
      <xdr:row>49</xdr:row>
      <xdr:rowOff>0</xdr:rowOff>
    </xdr:from>
    <xdr:to>
      <xdr:col>149</xdr:col>
      <xdr:colOff>0</xdr:colOff>
      <xdr:row>49</xdr:row>
      <xdr:rowOff>2</xdr:rowOff>
    </xdr:to>
    <xdr:cxnSp macro="">
      <xdr:nvCxnSpPr>
        <xdr:cNvPr id="79" name="Conector reto 78">
          <a:extLst>
            <a:ext uri="{FF2B5EF4-FFF2-40B4-BE49-F238E27FC236}">
              <a16:creationId xmlns:a16="http://schemas.microsoft.com/office/drawing/2014/main" id="{00000000-0008-0000-0400-00004F000000}"/>
            </a:ext>
          </a:extLst>
        </xdr:cNvPr>
        <xdr:cNvCxnSpPr/>
      </xdr:nvCxnSpPr>
      <xdr:spPr>
        <a:xfrm flipV="1">
          <a:off x="66675" y="2800350"/>
          <a:ext cx="12706350" cy="2"/>
        </a:xfrm>
        <a:prstGeom prst="line">
          <a:avLst/>
        </a:prstGeom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111</xdr:col>
      <xdr:colOff>0</xdr:colOff>
      <xdr:row>24</xdr:row>
      <xdr:rowOff>38100</xdr:rowOff>
    </xdr:from>
    <xdr:to>
      <xdr:col>135</xdr:col>
      <xdr:colOff>66675</xdr:colOff>
      <xdr:row>30</xdr:row>
      <xdr:rowOff>0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8458200" y="1409700"/>
          <a:ext cx="18954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000" b="1">
              <a:solidFill>
                <a:schemeClr val="accent5">
                  <a:lumMod val="75000"/>
                </a:schemeClr>
              </a:solidFill>
              <a:latin typeface="+mn-lt"/>
              <a:ea typeface="+mn-ea"/>
              <a:cs typeface="+mn-cs"/>
            </a:rPr>
            <a:t>ABORDAGENS</a:t>
          </a:r>
          <a:r>
            <a:rPr lang="pt-BR" sz="1100" baseline="0"/>
            <a:t> </a:t>
          </a:r>
          <a:r>
            <a:rPr lang="pt-BR" sz="1000" b="1">
              <a:solidFill>
                <a:schemeClr val="accent5">
                  <a:lumMod val="75000"/>
                </a:schemeClr>
              </a:solidFill>
              <a:latin typeface="+mn-lt"/>
              <a:ea typeface="+mn-ea"/>
              <a:cs typeface="+mn-cs"/>
            </a:rPr>
            <a:t>PELA GM</a:t>
          </a:r>
        </a:p>
      </xdr:txBody>
    </xdr:sp>
    <xdr:clientData/>
  </xdr:twoCellAnchor>
  <xdr:twoCellAnchor>
    <xdr:from>
      <xdr:col>121</xdr:col>
      <xdr:colOff>0</xdr:colOff>
      <xdr:row>29</xdr:row>
      <xdr:rowOff>25400</xdr:rowOff>
    </xdr:from>
    <xdr:to>
      <xdr:col>131</xdr:col>
      <xdr:colOff>57150</xdr:colOff>
      <xdr:row>39</xdr:row>
      <xdr:rowOff>25400</xdr:rowOff>
    </xdr:to>
    <xdr:sp macro="" textlink="BD!S4">
      <xdr:nvSpPr>
        <xdr:cNvPr id="11" name="CaixaDeTexto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 txBox="1"/>
      </xdr:nvSpPr>
      <xdr:spPr>
        <a:xfrm>
          <a:off x="9220200" y="1682750"/>
          <a:ext cx="819150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B82157C8-395E-40C1-AEF3-A3A8DDE9EFEE}" type="TxLink">
            <a:rPr lang="en-US" sz="2400" b="0" i="0" u="none" strike="noStrike">
              <a:solidFill>
                <a:schemeClr val="accent5">
                  <a:lumMod val="75000"/>
                </a:schemeClr>
              </a:solidFill>
              <a:latin typeface="Latha"/>
              <a:ea typeface="+mn-ea"/>
              <a:cs typeface="Latha"/>
            </a:rPr>
            <a:pPr marL="0" indent="0"/>
            <a:t>368</a:t>
          </a:fld>
          <a:endParaRPr lang="pt-BR" sz="2400" b="0" i="0" u="none" strike="noStrike">
            <a:solidFill>
              <a:schemeClr val="accent5">
                <a:lumMod val="75000"/>
              </a:schemeClr>
            </a:solidFill>
            <a:latin typeface="Latha"/>
            <a:ea typeface="+mn-ea"/>
            <a:cs typeface="Latha"/>
          </a:endParaRPr>
        </a:p>
      </xdr:txBody>
    </xdr:sp>
    <xdr:clientData/>
  </xdr:twoCellAnchor>
  <xdr:twoCellAnchor>
    <xdr:from>
      <xdr:col>134</xdr:col>
      <xdr:colOff>12700</xdr:colOff>
      <xdr:row>24</xdr:row>
      <xdr:rowOff>19050</xdr:rowOff>
    </xdr:from>
    <xdr:to>
      <xdr:col>155</xdr:col>
      <xdr:colOff>25400</xdr:colOff>
      <xdr:row>29</xdr:row>
      <xdr:rowOff>6350</xdr:rowOff>
    </xdr:to>
    <xdr:sp macro="" textlink="">
      <xdr:nvSpPr>
        <xdr:cNvPr id="13" name="CaixaDeTexto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 txBox="1"/>
      </xdr:nvSpPr>
      <xdr:spPr>
        <a:xfrm>
          <a:off x="10223500" y="1390650"/>
          <a:ext cx="1612900" cy="273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000" b="1">
              <a:solidFill>
                <a:schemeClr val="accent5">
                  <a:lumMod val="75000"/>
                </a:schemeClr>
              </a:solidFill>
              <a:latin typeface="+mn-lt"/>
              <a:ea typeface="+mn-ea"/>
              <a:cs typeface="+mn-cs"/>
            </a:rPr>
            <a:t>PRISÕES</a:t>
          </a:r>
          <a:r>
            <a:rPr lang="pt-BR" sz="1100"/>
            <a:t> </a:t>
          </a:r>
          <a:r>
            <a:rPr lang="pt-BR" sz="1000" b="1">
              <a:solidFill>
                <a:schemeClr val="accent5">
                  <a:lumMod val="75000"/>
                </a:schemeClr>
              </a:solidFill>
              <a:latin typeface="+mn-lt"/>
              <a:ea typeface="+mn-ea"/>
              <a:cs typeface="+mn-cs"/>
            </a:rPr>
            <a:t>PELA </a:t>
          </a:r>
          <a:r>
            <a:rPr lang="pt-BR" sz="1100"/>
            <a:t> </a:t>
          </a:r>
          <a:r>
            <a:rPr lang="pt-BR" sz="1000" b="1">
              <a:solidFill>
                <a:schemeClr val="accent5">
                  <a:lumMod val="75000"/>
                </a:schemeClr>
              </a:solidFill>
              <a:latin typeface="+mn-lt"/>
              <a:ea typeface="+mn-ea"/>
              <a:cs typeface="+mn-cs"/>
            </a:rPr>
            <a:t>GM</a:t>
          </a:r>
          <a:r>
            <a:rPr lang="pt-BR" sz="1100"/>
            <a:t> </a:t>
          </a:r>
        </a:p>
        <a:p>
          <a:r>
            <a:rPr lang="pt-BR" sz="1100"/>
            <a:t>                 </a:t>
          </a:r>
        </a:p>
      </xdr:txBody>
    </xdr:sp>
    <xdr:clientData/>
  </xdr:twoCellAnchor>
  <xdr:twoCellAnchor>
    <xdr:from>
      <xdr:col>143</xdr:col>
      <xdr:colOff>28575</xdr:colOff>
      <xdr:row>29</xdr:row>
      <xdr:rowOff>31750</xdr:rowOff>
    </xdr:from>
    <xdr:to>
      <xdr:col>151</xdr:col>
      <xdr:colOff>38100</xdr:colOff>
      <xdr:row>39</xdr:row>
      <xdr:rowOff>31750</xdr:rowOff>
    </xdr:to>
    <xdr:sp macro="" textlink="BD!U4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 txBox="1"/>
      </xdr:nvSpPr>
      <xdr:spPr>
        <a:xfrm>
          <a:off x="12287250" y="1689100"/>
          <a:ext cx="695325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6DA17685-22D1-44B4-B6D8-7A25B8046B80}" type="TxLink">
            <a:rPr lang="en-US" sz="2400" b="0" i="0" u="none" strike="noStrike">
              <a:solidFill>
                <a:schemeClr val="accent5">
                  <a:lumMod val="75000"/>
                </a:schemeClr>
              </a:solidFill>
              <a:latin typeface="Latha"/>
              <a:ea typeface="+mn-ea"/>
              <a:cs typeface="Latha"/>
            </a:rPr>
            <a:pPr marL="0" indent="0"/>
            <a:t>18</a:t>
          </a:fld>
          <a:endParaRPr lang="pt-BR" sz="2400" b="0" i="0" u="none" strike="noStrike">
            <a:solidFill>
              <a:schemeClr val="accent5">
                <a:lumMod val="75000"/>
              </a:schemeClr>
            </a:solidFill>
            <a:latin typeface="Latha"/>
            <a:ea typeface="+mn-ea"/>
            <a:cs typeface="Latha"/>
          </a:endParaRPr>
        </a:p>
      </xdr:txBody>
    </xdr:sp>
    <xdr:clientData/>
  </xdr:twoCellAnchor>
  <xdr:twoCellAnchor editAs="oneCell">
    <xdr:from>
      <xdr:col>135</xdr:col>
      <xdr:colOff>28575</xdr:colOff>
      <xdr:row>28</xdr:row>
      <xdr:rowOff>44450</xdr:rowOff>
    </xdr:from>
    <xdr:to>
      <xdr:col>143</xdr:col>
      <xdr:colOff>0</xdr:colOff>
      <xdr:row>39</xdr:row>
      <xdr:rowOff>6350</xdr:rowOff>
    </xdr:to>
    <xdr:pic>
      <xdr:nvPicPr>
        <xdr:cNvPr id="26" name="Gráfico 25" descr="Algemas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11601450" y="1644650"/>
          <a:ext cx="657225" cy="590550"/>
        </a:xfrm>
        <a:prstGeom prst="rect">
          <a:avLst/>
        </a:prstGeom>
      </xdr:spPr>
    </xdr:pic>
    <xdr:clientData/>
  </xdr:twoCellAnchor>
  <xdr:twoCellAnchor editAs="oneCell">
    <xdr:from>
      <xdr:col>114</xdr:col>
      <xdr:colOff>0</xdr:colOff>
      <xdr:row>29</xdr:row>
      <xdr:rowOff>31750</xdr:rowOff>
    </xdr:from>
    <xdr:to>
      <xdr:col>121</xdr:col>
      <xdr:colOff>25400</xdr:colOff>
      <xdr:row>39</xdr:row>
      <xdr:rowOff>19050</xdr:rowOff>
    </xdr:to>
    <xdr:pic>
      <xdr:nvPicPr>
        <xdr:cNvPr id="28" name="Gráfico 27" descr="Sirene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9772650" y="1689100"/>
          <a:ext cx="625475" cy="5588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</xdr:row>
      <xdr:rowOff>0</xdr:rowOff>
    </xdr:from>
    <xdr:to>
      <xdr:col>67</xdr:col>
      <xdr:colOff>9363</xdr:colOff>
      <xdr:row>23</xdr:row>
      <xdr:rowOff>44452</xdr:rowOff>
    </xdr:to>
    <xdr:grpSp>
      <xdr:nvGrpSpPr>
        <xdr:cNvPr id="37" name="Agrupar 36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GrpSpPr/>
      </xdr:nvGrpSpPr>
      <xdr:grpSpPr>
        <a:xfrm>
          <a:off x="76200" y="171450"/>
          <a:ext cx="5038563" cy="1187452"/>
          <a:chOff x="76200" y="171450"/>
          <a:chExt cx="5038563" cy="1187452"/>
        </a:xfrm>
      </xdr:grpSpPr>
      <xdr:sp macro="" textlink="">
        <xdr:nvSpPr>
          <xdr:cNvPr id="4" name="CaixaDeTexto 3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SpPr txBox="1"/>
        </xdr:nvSpPr>
        <xdr:spPr>
          <a:xfrm>
            <a:off x="1080925" y="171450"/>
            <a:ext cx="4033838" cy="118745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300" b="1">
                <a:solidFill>
                  <a:schemeClr val="accent5">
                    <a:lumMod val="75000"/>
                  </a:schemeClr>
                </a:solidFill>
              </a:rPr>
              <a:t>Dashboard Flanelinhas</a:t>
            </a:r>
            <a:r>
              <a:rPr lang="pt-BR" sz="1300" b="1" baseline="0">
                <a:solidFill>
                  <a:schemeClr val="accent5">
                    <a:lumMod val="75000"/>
                  </a:schemeClr>
                </a:solidFill>
              </a:rPr>
              <a:t> </a:t>
            </a:r>
            <a:endParaRPr lang="pt-BR" sz="1300" b="1">
              <a:solidFill>
                <a:schemeClr val="accent5">
                  <a:lumMod val="75000"/>
                </a:schemeClr>
              </a:solidFill>
            </a:endParaRPr>
          </a:p>
          <a:p>
            <a:r>
              <a:rPr lang="pt-BR" sz="1300" b="1">
                <a:solidFill>
                  <a:schemeClr val="accent5">
                    <a:lumMod val="75000"/>
                  </a:schemeClr>
                </a:solidFill>
              </a:rPr>
              <a:t>Secretaria Municipal de Segurança - Smseg</a:t>
            </a:r>
          </a:p>
          <a:p>
            <a:r>
              <a:rPr lang="pt-BR" sz="1300" b="1">
                <a:solidFill>
                  <a:schemeClr val="accent5">
                    <a:lumMod val="75000"/>
                  </a:schemeClr>
                </a:solidFill>
              </a:rPr>
              <a:t>Unidade</a:t>
            </a:r>
            <a:r>
              <a:rPr lang="pt-BR" sz="1300" b="1" baseline="0">
                <a:solidFill>
                  <a:schemeClr val="accent5">
                    <a:lumMod val="75000"/>
                  </a:schemeClr>
                </a:solidFill>
              </a:rPr>
              <a:t> de Informações e Estatísticas - UIE</a:t>
            </a:r>
            <a:endParaRPr lang="pt-BR" sz="1300" b="1">
              <a:solidFill>
                <a:schemeClr val="accent5">
                  <a:lumMod val="75000"/>
                </a:schemeClr>
              </a:solidFill>
            </a:endParaRPr>
          </a:p>
        </xdr:txBody>
      </xdr:sp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00000000-0008-0000-0400-00002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6200" y="221159"/>
            <a:ext cx="1080000" cy="836116"/>
          </a:xfrm>
          <a:prstGeom prst="rect">
            <a:avLst/>
          </a:prstGeom>
        </xdr:spPr>
      </xdr:pic>
    </xdr:grpSp>
    <xdr:clientData/>
  </xdr:twoCellAnchor>
  <xdr:twoCellAnchor>
    <xdr:from>
      <xdr:col>98</xdr:col>
      <xdr:colOff>15875</xdr:colOff>
      <xdr:row>107</xdr:row>
      <xdr:rowOff>3175</xdr:rowOff>
    </xdr:from>
    <xdr:to>
      <xdr:col>144</xdr:col>
      <xdr:colOff>24275</xdr:colOff>
      <xdr:row>143</xdr:row>
      <xdr:rowOff>4975</xdr:rowOff>
    </xdr:to>
    <xdr:graphicFrame macro="">
      <xdr:nvGraphicFramePr>
        <xdr:cNvPr id="45" name="Gráfico 44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97</xdr:col>
      <xdr:colOff>32016</xdr:colOff>
      <xdr:row>101</xdr:row>
      <xdr:rowOff>50801</xdr:rowOff>
    </xdr:from>
    <xdr:to>
      <xdr:col>144</xdr:col>
      <xdr:colOff>25400</xdr:colOff>
      <xdr:row>106</xdr:row>
      <xdr:rowOff>50798</xdr:rowOff>
    </xdr:to>
    <xdr:grpSp>
      <xdr:nvGrpSpPr>
        <xdr:cNvPr id="46" name="Agrupar 45">
          <a:extLs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GrpSpPr/>
      </xdr:nvGrpSpPr>
      <xdr:grpSpPr>
        <a:xfrm>
          <a:off x="7423416" y="5822951"/>
          <a:ext cx="3574784" cy="285747"/>
          <a:chOff x="424217" y="2317029"/>
          <a:chExt cx="3894577" cy="299308"/>
        </a:xfrm>
      </xdr:grpSpPr>
      <xdr:cxnSp macro="">
        <xdr:nvCxnSpPr>
          <xdr:cNvPr id="47" name="Linha">
            <a:extLst>
              <a:ext uri="{FF2B5EF4-FFF2-40B4-BE49-F238E27FC236}">
                <a16:creationId xmlns:a16="http://schemas.microsoft.com/office/drawing/2014/main" id="{00000000-0008-0000-0400-00002F000000}"/>
              </a:ext>
            </a:extLst>
          </xdr:cNvPr>
          <xdr:cNvCxnSpPr/>
        </xdr:nvCxnSpPr>
        <xdr:spPr>
          <a:xfrm>
            <a:off x="484982" y="2610643"/>
            <a:ext cx="3833812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8" name="Título">
            <a:extLst>
              <a:ext uri="{FF2B5EF4-FFF2-40B4-BE49-F238E27FC236}">
                <a16:creationId xmlns:a16="http://schemas.microsoft.com/office/drawing/2014/main" id="{00000000-0008-0000-0400-000030000000}"/>
              </a:ext>
            </a:extLst>
          </xdr:cNvPr>
          <xdr:cNvSpPr txBox="1"/>
        </xdr:nvSpPr>
        <xdr:spPr>
          <a:xfrm>
            <a:off x="424217" y="2317029"/>
            <a:ext cx="3803649" cy="2993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pt-BR" sz="1100" b="1">
                <a:solidFill>
                  <a:schemeClr val="accent5">
                    <a:lumMod val="75000"/>
                  </a:schemeClr>
                </a:solidFill>
              </a:rPr>
              <a:t>Nº</a:t>
            </a:r>
            <a:r>
              <a:rPr lang="pt-BR" sz="1100" b="1" baseline="0">
                <a:solidFill>
                  <a:schemeClr val="accent5">
                    <a:lumMod val="75000"/>
                  </a:schemeClr>
                </a:solidFill>
              </a:rPr>
              <a:t> DE 6ºs PROCESSOS SEI GERADOS</a:t>
            </a:r>
            <a:endParaRPr lang="pt-BR" sz="1100" b="1">
              <a:solidFill>
                <a:schemeClr val="accent5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125</xdr:col>
      <xdr:colOff>9525</xdr:colOff>
      <xdr:row>4</xdr:row>
      <xdr:rowOff>9525</xdr:rowOff>
    </xdr:from>
    <xdr:to>
      <xdr:col>152</xdr:col>
      <xdr:colOff>0</xdr:colOff>
      <xdr:row>19</xdr:row>
      <xdr:rowOff>9525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0725150" y="238125"/>
          <a:ext cx="2305050" cy="857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 b="1">
              <a:solidFill>
                <a:schemeClr val="accent1">
                  <a:lumMod val="75000"/>
                </a:schemeClr>
              </a:solidFill>
            </a:rPr>
            <a:t>ATUALIZADO</a:t>
          </a:r>
          <a:r>
            <a:rPr lang="pt-BR" sz="1100" b="1" baseline="0">
              <a:solidFill>
                <a:schemeClr val="accent1">
                  <a:lumMod val="75000"/>
                </a:schemeClr>
              </a:solidFill>
            </a:rPr>
            <a:t> ATÉ </a:t>
          </a:r>
        </a:p>
        <a:p>
          <a:pPr algn="ctr"/>
          <a:r>
            <a:rPr lang="pt-BR" sz="1100" b="1" baseline="0">
              <a:solidFill>
                <a:srgbClr val="FF0000"/>
              </a:solidFill>
            </a:rPr>
            <a:t>03/06/2020</a:t>
          </a:r>
        </a:p>
        <a:p>
          <a:pPr algn="ctr"/>
          <a:r>
            <a:rPr lang="pt-BR" sz="1100" b="1" baseline="0">
              <a:solidFill>
                <a:srgbClr val="FF0000"/>
              </a:solidFill>
            </a:rPr>
            <a:t>ÀS18H30</a:t>
          </a:r>
          <a:endParaRPr lang="pt-BR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0</xdr:col>
      <xdr:colOff>66675</xdr:colOff>
      <xdr:row>44</xdr:row>
      <xdr:rowOff>0</xdr:rowOff>
    </xdr:from>
    <xdr:to>
      <xdr:col>61</xdr:col>
      <xdr:colOff>38100</xdr:colOff>
      <xdr:row>48</xdr:row>
      <xdr:rowOff>9525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66675" y="2514600"/>
          <a:ext cx="520065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900">
              <a:solidFill>
                <a:schemeClr val="bg2">
                  <a:lumMod val="50000"/>
                </a:schemeClr>
              </a:solidFill>
            </a:rPr>
            <a:t>Fonte:</a:t>
          </a:r>
          <a:r>
            <a:rPr lang="pt-BR" sz="900" baseline="0">
              <a:solidFill>
                <a:schemeClr val="bg2">
                  <a:lumMod val="50000"/>
                </a:schemeClr>
              </a:solidFill>
            </a:rPr>
            <a:t> Sistema Eletrônico de Informações PMPA, SinesCad, Consultas Intregadas SSP/RS.</a:t>
          </a:r>
          <a:endParaRPr lang="pt-BR" sz="900">
            <a:solidFill>
              <a:schemeClr val="bg2">
                <a:lumMod val="50000"/>
              </a:schemeClr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21</xdr:row>
      <xdr:rowOff>0</xdr:rowOff>
    </xdr:from>
    <xdr:to>
      <xdr:col>39</xdr:col>
      <xdr:colOff>35871</xdr:colOff>
      <xdr:row>24</xdr:row>
      <xdr:rowOff>19050</xdr:rowOff>
    </xdr:to>
    <xdr:sp macro="" textlink="">
      <xdr:nvSpPr>
        <xdr:cNvPr id="3" name="Título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161925" y="2343150"/>
          <a:ext cx="3912546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pt-BR" sz="1100" b="1">
              <a:solidFill>
                <a:schemeClr val="accent5">
                  <a:lumMod val="75000"/>
                </a:schemeClr>
              </a:solidFill>
            </a:rPr>
            <a:t>SEXO</a:t>
          </a:r>
          <a:r>
            <a:rPr lang="pt-BR" sz="1100" b="1" baseline="0">
              <a:solidFill>
                <a:schemeClr val="accent5">
                  <a:lumMod val="75000"/>
                </a:schemeClr>
              </a:solidFill>
            </a:rPr>
            <a:t> - AUTUADOS</a:t>
          </a:r>
          <a:endParaRPr lang="pt-BR" sz="1100" b="1">
            <a:solidFill>
              <a:schemeClr val="accent5">
                <a:lumMod val="75000"/>
              </a:schemeClr>
            </a:solidFill>
          </a:endParaRPr>
        </a:p>
      </xdr:txBody>
    </xdr:sp>
    <xdr:clientData/>
  </xdr:twoCellAnchor>
  <xdr:twoCellAnchor>
    <xdr:from>
      <xdr:col>44</xdr:col>
      <xdr:colOff>95250</xdr:colOff>
      <xdr:row>21</xdr:row>
      <xdr:rowOff>0</xdr:rowOff>
    </xdr:from>
    <xdr:to>
      <xdr:col>82</xdr:col>
      <xdr:colOff>43150</xdr:colOff>
      <xdr:row>25</xdr:row>
      <xdr:rowOff>19050</xdr:rowOff>
    </xdr:to>
    <xdr:sp macro="" textlink="">
      <xdr:nvSpPr>
        <xdr:cNvPr id="7" name="Título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 txBox="1"/>
      </xdr:nvSpPr>
      <xdr:spPr>
        <a:xfrm>
          <a:off x="4657725" y="2343150"/>
          <a:ext cx="3929350" cy="323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pt-BR" sz="1100" b="1">
              <a:solidFill>
                <a:schemeClr val="accent5">
                  <a:lumMod val="75000"/>
                </a:schemeClr>
              </a:solidFill>
            </a:rPr>
            <a:t>FAIXA</a:t>
          </a:r>
          <a:r>
            <a:rPr lang="pt-BR" sz="1100" b="1" baseline="0">
              <a:solidFill>
                <a:schemeClr val="accent5">
                  <a:lumMod val="75000"/>
                </a:schemeClr>
              </a:solidFill>
            </a:rPr>
            <a:t> ETÁRIA - AUTUADOS</a:t>
          </a:r>
          <a:endParaRPr lang="pt-BR" sz="1100" b="1">
            <a:solidFill>
              <a:schemeClr val="accent5">
                <a:lumMod val="75000"/>
              </a:schemeClr>
            </a:solidFill>
          </a:endParaRPr>
        </a:p>
      </xdr:txBody>
    </xdr:sp>
    <xdr:clientData/>
  </xdr:twoCellAnchor>
  <xdr:twoCellAnchor>
    <xdr:from>
      <xdr:col>45</xdr:col>
      <xdr:colOff>19050</xdr:colOff>
      <xdr:row>25</xdr:row>
      <xdr:rowOff>28575</xdr:rowOff>
    </xdr:from>
    <xdr:to>
      <xdr:col>85</xdr:col>
      <xdr:colOff>19050</xdr:colOff>
      <xdr:row>25</xdr:row>
      <xdr:rowOff>28575</xdr:rowOff>
    </xdr:to>
    <xdr:cxnSp macro="">
      <xdr:nvCxnSpPr>
        <xdr:cNvPr id="8" name="Linha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CxnSpPr/>
      </xdr:nvCxnSpPr>
      <xdr:spPr>
        <a:xfrm>
          <a:off x="4686300" y="1914525"/>
          <a:ext cx="4191000" cy="0"/>
        </a:xfrm>
        <a:prstGeom prst="line">
          <a:avLst/>
        </a:prstGeom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95250</xdr:colOff>
      <xdr:row>68</xdr:row>
      <xdr:rowOff>20175</xdr:rowOff>
    </xdr:from>
    <xdr:to>
      <xdr:col>43</xdr:col>
      <xdr:colOff>0</xdr:colOff>
      <xdr:row>95</xdr:row>
      <xdr:rowOff>57150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86</xdr:col>
      <xdr:colOff>47625</xdr:colOff>
      <xdr:row>25</xdr:row>
      <xdr:rowOff>19050</xdr:rowOff>
    </xdr:from>
    <xdr:to>
      <xdr:col>101</xdr:col>
      <xdr:colOff>0</xdr:colOff>
      <xdr:row>56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BAIRRO 1">
              <a:extLst>
                <a:ext uri="{FF2B5EF4-FFF2-40B4-BE49-F238E27FC236}">
                  <a16:creationId xmlns:a16="http://schemas.microsoft.com/office/drawing/2014/main" id="{00000000-0008-0000-0500-00000A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IRRO 1"/>
            </a:graphicData>
          </a:graphic>
        </xdr:graphicFrame>
      </mc:Choice>
      <mc:Fallback xmlns="">
        <xdr:sp macro="" textlink="">
          <xdr:nvSpPr>
            <xdr:cNvPr id="6" name="Retângulo 5"/>
            <xdr:cNvSpPr>
              <a:spLocks noTextEdit="1"/>
            </xdr:cNvSpPr>
          </xdr:nvSpPr>
          <xdr:spPr>
            <a:xfrm>
              <a:off x="9010650" y="2667000"/>
              <a:ext cx="1514475" cy="23812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slicer. Os slicers podem ser usados, no mínimo, no Excel 2010.
Caso a forma tenha sido modificada em uma versão anterior do Excel, ou a pasta de trabalho tenha sido salva no Excel 2003 ou
anterior, o slicer não poderá ser usado.</a:t>
              </a:r>
            </a:p>
          </xdr:txBody>
        </xdr:sp>
      </mc:Fallback>
    </mc:AlternateContent>
    <xdr:clientData/>
  </xdr:twoCellAnchor>
  <xdr:twoCellAnchor editAs="oneCell">
    <xdr:from>
      <xdr:col>86</xdr:col>
      <xdr:colOff>66675</xdr:colOff>
      <xdr:row>57</xdr:row>
      <xdr:rowOff>28574</xdr:rowOff>
    </xdr:from>
    <xdr:to>
      <xdr:col>101</xdr:col>
      <xdr:colOff>7475</xdr:colOff>
      <xdr:row>88</xdr:row>
      <xdr:rowOff>46399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IDADE">
              <a:extLst>
                <a:ext uri="{FF2B5EF4-FFF2-40B4-BE49-F238E27FC236}">
                  <a16:creationId xmlns:a16="http://schemas.microsoft.com/office/drawing/2014/main" id="{00000000-0008-0000-0500-00000B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DADE"/>
            </a:graphicData>
          </a:graphic>
        </xdr:graphicFrame>
      </mc:Choice>
      <mc:Fallback xmlns="">
        <xdr:sp macro="" textlink="">
          <xdr:nvSpPr>
            <xdr:cNvPr id="10" name="Retângulo 9"/>
            <xdr:cNvSpPr>
              <a:spLocks noTextEdit="1"/>
            </xdr:cNvSpPr>
          </xdr:nvSpPr>
          <xdr:spPr>
            <a:xfrm>
              <a:off x="9029700" y="5114924"/>
              <a:ext cx="1515600" cy="238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slicer. Os slicers podem ser usados, no mínimo, no Excel 2010.
Caso a forma tenha sido modificada em uma versão anterior do Excel, ou a pasta de trabalho tenha sido salva no Excel 2003 ou
anterior, o slicer não poderá ser usado.</a:t>
              </a:r>
            </a:p>
          </xdr:txBody>
        </xdr:sp>
      </mc:Fallback>
    </mc:AlternateContent>
    <xdr:clientData/>
  </xdr:twoCellAnchor>
  <xdr:twoCellAnchor>
    <xdr:from>
      <xdr:col>1</xdr:col>
      <xdr:colOff>38100</xdr:colOff>
      <xdr:row>64</xdr:row>
      <xdr:rowOff>0</xdr:rowOff>
    </xdr:from>
    <xdr:to>
      <xdr:col>38</xdr:col>
      <xdr:colOff>38100</xdr:colOff>
      <xdr:row>68</xdr:row>
      <xdr:rowOff>0</xdr:rowOff>
    </xdr:to>
    <xdr:sp macro="" textlink="">
      <xdr:nvSpPr>
        <xdr:cNvPr id="12" name="Título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 txBox="1"/>
      </xdr:nvSpPr>
      <xdr:spPr>
        <a:xfrm>
          <a:off x="95250" y="4857750"/>
          <a:ext cx="387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pt-BR" sz="1100" b="1">
              <a:solidFill>
                <a:schemeClr val="accent5">
                  <a:lumMod val="75000"/>
                </a:schemeClr>
              </a:solidFill>
            </a:rPr>
            <a:t>5</a:t>
          </a:r>
          <a:r>
            <a:rPr lang="pt-BR" sz="1100" b="1" baseline="0">
              <a:solidFill>
                <a:schemeClr val="accent5">
                  <a:lumMod val="75000"/>
                </a:schemeClr>
              </a:solidFill>
            </a:rPr>
            <a:t> BAIRROS COM MAIOR NÚMERO DE AUTUADOS</a:t>
          </a:r>
          <a:endParaRPr lang="pt-BR" sz="1100" b="1">
            <a:solidFill>
              <a:schemeClr val="accent5">
                <a:lumMod val="75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15</xdr:row>
      <xdr:rowOff>57150</xdr:rowOff>
    </xdr:from>
    <xdr:to>
      <xdr:col>101</xdr:col>
      <xdr:colOff>0</xdr:colOff>
      <xdr:row>16</xdr:row>
      <xdr:rowOff>0</xdr:rowOff>
    </xdr:to>
    <xdr:cxnSp macro="">
      <xdr:nvCxnSpPr>
        <xdr:cNvPr id="16" name="Conector reto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CxnSpPr/>
      </xdr:nvCxnSpPr>
      <xdr:spPr>
        <a:xfrm>
          <a:off x="146050" y="1181100"/>
          <a:ext cx="9429750" cy="19050"/>
        </a:xfrm>
        <a:prstGeom prst="line">
          <a:avLst/>
        </a:prstGeom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28575</xdr:colOff>
      <xdr:row>25</xdr:row>
      <xdr:rowOff>47625</xdr:rowOff>
    </xdr:from>
    <xdr:to>
      <xdr:col>43</xdr:col>
      <xdr:colOff>60325</xdr:colOff>
      <xdr:row>57</xdr:row>
      <xdr:rowOff>9525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19050</xdr:colOff>
      <xdr:row>25</xdr:row>
      <xdr:rowOff>28575</xdr:rowOff>
    </xdr:from>
    <xdr:to>
      <xdr:col>43</xdr:col>
      <xdr:colOff>38100</xdr:colOff>
      <xdr:row>25</xdr:row>
      <xdr:rowOff>28575</xdr:rowOff>
    </xdr:to>
    <xdr:cxnSp macro="">
      <xdr:nvCxnSpPr>
        <xdr:cNvPr id="42" name="Conector reto 41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CxnSpPr/>
      </xdr:nvCxnSpPr>
      <xdr:spPr>
        <a:xfrm>
          <a:off x="180975" y="1914525"/>
          <a:ext cx="4314825" cy="0"/>
        </a:xfrm>
        <a:prstGeom prst="line">
          <a:avLst/>
        </a:prstGeom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63500</xdr:colOff>
      <xdr:row>68</xdr:row>
      <xdr:rowOff>38100</xdr:rowOff>
    </xdr:from>
    <xdr:to>
      <xdr:col>84</xdr:col>
      <xdr:colOff>44300</xdr:colOff>
      <xdr:row>96</xdr:row>
      <xdr:rowOff>0</xdr:rowOff>
    </xdr:to>
    <xdr:graphicFrame macro="">
      <xdr:nvGraphicFramePr>
        <xdr:cNvPr id="26" name="Gráfico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44</xdr:col>
      <xdr:colOff>9525</xdr:colOff>
      <xdr:row>64</xdr:row>
      <xdr:rowOff>0</xdr:rowOff>
    </xdr:from>
    <xdr:to>
      <xdr:col>81</xdr:col>
      <xdr:colOff>9525</xdr:colOff>
      <xdr:row>68</xdr:row>
      <xdr:rowOff>0</xdr:rowOff>
    </xdr:to>
    <xdr:sp macro="" textlink="">
      <xdr:nvSpPr>
        <xdr:cNvPr id="30" name="Título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 txBox="1"/>
      </xdr:nvSpPr>
      <xdr:spPr>
        <a:xfrm>
          <a:off x="4572000" y="4857750"/>
          <a:ext cx="387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pt-BR" sz="1100" b="1">
              <a:solidFill>
                <a:schemeClr val="accent5">
                  <a:lumMod val="75000"/>
                </a:schemeClr>
              </a:solidFill>
            </a:rPr>
            <a:t>JOGOS</a:t>
          </a:r>
        </a:p>
        <a:p>
          <a:pPr algn="l"/>
          <a:endParaRPr lang="pt-BR" sz="1100" b="1">
            <a:solidFill>
              <a:schemeClr val="accent5">
                <a:lumMod val="75000"/>
              </a:schemeClr>
            </a:solidFill>
          </a:endParaRPr>
        </a:p>
      </xdr:txBody>
    </xdr:sp>
    <xdr:clientData/>
  </xdr:twoCellAnchor>
  <xdr:twoCellAnchor>
    <xdr:from>
      <xdr:col>44</xdr:col>
      <xdr:colOff>79375</xdr:colOff>
      <xdr:row>68</xdr:row>
      <xdr:rowOff>34925</xdr:rowOff>
    </xdr:from>
    <xdr:to>
      <xdr:col>84</xdr:col>
      <xdr:colOff>76200</xdr:colOff>
      <xdr:row>68</xdr:row>
      <xdr:rowOff>34925</xdr:rowOff>
    </xdr:to>
    <xdr:cxnSp macro="">
      <xdr:nvCxnSpPr>
        <xdr:cNvPr id="31" name="Linha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CxnSpPr/>
      </xdr:nvCxnSpPr>
      <xdr:spPr>
        <a:xfrm>
          <a:off x="4641850" y="5197475"/>
          <a:ext cx="4187825" cy="0"/>
        </a:xfrm>
        <a:prstGeom prst="line">
          <a:avLst/>
        </a:prstGeom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2</xdr:row>
      <xdr:rowOff>19050</xdr:rowOff>
    </xdr:from>
    <xdr:to>
      <xdr:col>54</xdr:col>
      <xdr:colOff>47463</xdr:colOff>
      <xdr:row>17</xdr:row>
      <xdr:rowOff>63502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GrpSpPr/>
      </xdr:nvGrpSpPr>
      <xdr:grpSpPr>
        <a:xfrm>
          <a:off x="107950" y="152400"/>
          <a:ext cx="5038563" cy="1187452"/>
          <a:chOff x="76200" y="171450"/>
          <a:chExt cx="5038563" cy="1187452"/>
        </a:xfrm>
      </xdr:grpSpPr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00000000-0008-0000-0500-000016000000}"/>
              </a:ext>
            </a:extLst>
          </xdr:cNvPr>
          <xdr:cNvSpPr txBox="1"/>
        </xdr:nvSpPr>
        <xdr:spPr>
          <a:xfrm>
            <a:off x="1080925" y="171450"/>
            <a:ext cx="4033838" cy="118745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300" b="1">
                <a:solidFill>
                  <a:schemeClr val="accent5">
                    <a:lumMod val="75000"/>
                  </a:schemeClr>
                </a:solidFill>
              </a:rPr>
              <a:t>Dashboard Flanelinhas</a:t>
            </a:r>
          </a:p>
          <a:p>
            <a:r>
              <a:rPr lang="pt-BR" sz="1300" b="1">
                <a:solidFill>
                  <a:schemeClr val="accent5">
                    <a:lumMod val="75000"/>
                  </a:schemeClr>
                </a:solidFill>
              </a:rPr>
              <a:t>Secretaria Municipal de Segurança - Smseg</a:t>
            </a:r>
          </a:p>
          <a:p>
            <a:r>
              <a:rPr lang="pt-BR" sz="1300" b="1">
                <a:solidFill>
                  <a:schemeClr val="accent5">
                    <a:lumMod val="75000"/>
                  </a:schemeClr>
                </a:solidFill>
              </a:rPr>
              <a:t>Unidade</a:t>
            </a:r>
            <a:r>
              <a:rPr lang="pt-BR" sz="1300" b="1" baseline="0">
                <a:solidFill>
                  <a:schemeClr val="accent5">
                    <a:lumMod val="75000"/>
                  </a:schemeClr>
                </a:solidFill>
              </a:rPr>
              <a:t> de Informações e Estatísticas - UIE</a:t>
            </a:r>
            <a:endParaRPr lang="pt-BR" sz="1300" b="1">
              <a:solidFill>
                <a:schemeClr val="accent5">
                  <a:lumMod val="75000"/>
                </a:schemeClr>
              </a:solidFill>
            </a:endParaRPr>
          </a:p>
        </xdr:txBody>
      </xdr:sp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00000000-0008-0000-05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6200" y="221159"/>
            <a:ext cx="1080000" cy="778966"/>
          </a:xfrm>
          <a:prstGeom prst="rect">
            <a:avLst/>
          </a:prstGeom>
        </xdr:spPr>
      </xdr:pic>
    </xdr:grpSp>
    <xdr:clientData/>
  </xdr:twoCellAnchor>
  <xdr:twoCellAnchor>
    <xdr:from>
      <xdr:col>44</xdr:col>
      <xdr:colOff>95250</xdr:colOff>
      <xdr:row>25</xdr:row>
      <xdr:rowOff>38100</xdr:rowOff>
    </xdr:from>
    <xdr:to>
      <xdr:col>85</xdr:col>
      <xdr:colOff>9525</xdr:colOff>
      <xdr:row>57</xdr:row>
      <xdr:rowOff>900</xdr:rowOff>
    </xdr:to>
    <xdr:graphicFrame macro="">
      <xdr:nvGraphicFramePr>
        <xdr:cNvPr id="24" name="Gráfico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85725</xdr:colOff>
      <xdr:row>68</xdr:row>
      <xdr:rowOff>9525</xdr:rowOff>
    </xdr:from>
    <xdr:to>
      <xdr:col>43</xdr:col>
      <xdr:colOff>0</xdr:colOff>
      <xdr:row>68</xdr:row>
      <xdr:rowOff>9525</xdr:rowOff>
    </xdr:to>
    <xdr:cxnSp macro="">
      <xdr:nvCxnSpPr>
        <xdr:cNvPr id="25" name="Conector reto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CxnSpPr/>
      </xdr:nvCxnSpPr>
      <xdr:spPr>
        <a:xfrm>
          <a:off x="142875" y="5172075"/>
          <a:ext cx="4314825" cy="0"/>
        </a:xfrm>
        <a:prstGeom prst="line">
          <a:avLst/>
        </a:prstGeom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0.02439</cdr:x>
      <cdr:y>0.63491</cdr:y>
    </cdr:from>
    <cdr:to>
      <cdr:x>0.13951</cdr:x>
      <cdr:y>0.84127</cdr:y>
    </cdr:to>
    <cdr:pic>
      <cdr:nvPicPr>
        <cdr:cNvPr id="2" name="Gráfico 56" descr="Homem">
          <a:extLst xmlns:a="http://schemas.openxmlformats.org/drawingml/2006/main">
            <a:ext uri="{FF2B5EF4-FFF2-40B4-BE49-F238E27FC236}">
              <a16:creationId xmlns:a16="http://schemas.microsoft.com/office/drawing/2014/main" id="{D437A272-4FD4-469B-B4DF-B09CF54BEF20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95250" y="1523983"/>
          <a:ext cx="449572" cy="4953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</cdr:x>
      <cdr:y>0.80816</cdr:y>
    </cdr:from>
    <cdr:to>
      <cdr:x>0.17073</cdr:x>
      <cdr:y>1</cdr:y>
    </cdr:to>
    <cdr:sp macro="" textlink="CALCULOS!$C$71">
      <cdr:nvSpPr>
        <cdr:cNvPr id="3" name="CaixaDeTexto 54">
          <a:extLst xmlns:a="http://schemas.openxmlformats.org/drawingml/2006/main">
            <a:ext uri="{FF2B5EF4-FFF2-40B4-BE49-F238E27FC236}">
              <a16:creationId xmlns:a16="http://schemas.microsoft.com/office/drawing/2014/main" id="{081F8ACE-78B0-4B72-AB13-A3A2F60B83AB}"/>
            </a:ext>
          </a:extLst>
        </cdr:cNvPr>
        <cdr:cNvSpPr txBox="1"/>
      </cdr:nvSpPr>
      <cdr:spPr>
        <a:xfrm xmlns:a="http://schemas.openxmlformats.org/drawingml/2006/main">
          <a:off x="0" y="1939822"/>
          <a:ext cx="666750" cy="4604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vertOverflow="clip" horzOverflow="clip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/>
          <a:fld id="{CE4B3BDF-8D5A-48E4-9DBD-C4DEE4639AAB}" type="TxLink">
            <a:rPr lang="en-US" sz="2400" b="0" i="0" u="none" strike="noStrike">
              <a:solidFill>
                <a:schemeClr val="accent5">
                  <a:lumMod val="75000"/>
                </a:schemeClr>
              </a:solidFill>
              <a:latin typeface="Latha"/>
              <a:ea typeface="+mn-ea"/>
              <a:cs typeface="Latha"/>
            </a:rPr>
            <a:pPr marL="0" indent="0"/>
            <a:t>188</a:t>
          </a:fld>
          <a:endParaRPr lang="pt-BR" sz="2400" b="0" i="0" u="none" strike="noStrike">
            <a:solidFill>
              <a:schemeClr val="accent5">
                <a:lumMod val="75000"/>
              </a:schemeClr>
            </a:solidFill>
            <a:latin typeface="Latha"/>
            <a:ea typeface="+mn-ea"/>
            <a:cs typeface="Latha"/>
          </a:endParaRPr>
        </a:p>
      </cdr:txBody>
    </cdr:sp>
  </cdr:relSizeAnchor>
  <cdr:relSizeAnchor xmlns:cdr="http://schemas.openxmlformats.org/drawingml/2006/chartDrawing">
    <cdr:from>
      <cdr:x>0.62511</cdr:x>
      <cdr:y>0.00509</cdr:y>
    </cdr:from>
    <cdr:to>
      <cdr:x>0.73659</cdr:x>
      <cdr:y>0.2025</cdr:y>
    </cdr:to>
    <cdr:pic>
      <cdr:nvPicPr>
        <cdr:cNvPr id="4" name="Gráfico 53" descr="Mulher">
          <a:extLst xmlns:a="http://schemas.openxmlformats.org/drawingml/2006/main">
            <a:ext uri="{FF2B5EF4-FFF2-40B4-BE49-F238E27FC236}">
              <a16:creationId xmlns:a16="http://schemas.microsoft.com/office/drawing/2014/main" id="{F8B4BE99-C987-45C0-9E69-9E25549241D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2441192" y="12221"/>
          <a:ext cx="435358" cy="473843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0.64065</cdr:x>
      <cdr:y>0.21531</cdr:y>
    </cdr:from>
    <cdr:to>
      <cdr:x>0.74347</cdr:x>
      <cdr:y>0.46825</cdr:y>
    </cdr:to>
    <cdr:sp macro="" textlink="CALCULOS!$C$70">
      <cdr:nvSpPr>
        <cdr:cNvPr id="5" name="CaixaDeTexto 51">
          <a:extLst xmlns:a="http://schemas.openxmlformats.org/drawingml/2006/main">
            <a:ext uri="{FF2B5EF4-FFF2-40B4-BE49-F238E27FC236}">
              <a16:creationId xmlns:a16="http://schemas.microsoft.com/office/drawing/2014/main" id="{20801908-6259-41C3-B516-6533665827E3}"/>
            </a:ext>
          </a:extLst>
        </cdr:cNvPr>
        <cdr:cNvSpPr txBox="1"/>
      </cdr:nvSpPr>
      <cdr:spPr>
        <a:xfrm xmlns:a="http://schemas.openxmlformats.org/drawingml/2006/main">
          <a:off x="2501900" y="516818"/>
          <a:ext cx="401539" cy="60713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vertOverflow="clip" horzOverflow="clip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/>
          <a:fld id="{7510C04B-8680-493E-BB46-964E86D72D95}" type="TxLink">
            <a:rPr lang="en-US" sz="2400" b="0" i="0" u="none" strike="noStrike">
              <a:solidFill>
                <a:schemeClr val="accent1">
                  <a:lumMod val="40000"/>
                  <a:lumOff val="60000"/>
                </a:schemeClr>
              </a:solidFill>
              <a:latin typeface="Latha"/>
              <a:ea typeface="+mn-ea"/>
              <a:cs typeface="Latha"/>
            </a:rPr>
            <a:pPr marL="0" indent="0"/>
            <a:t>2</a:t>
          </a:fld>
          <a:endParaRPr lang="pt-BR" sz="2400" b="0" i="0" u="none" strike="noStrike">
            <a:solidFill>
              <a:schemeClr val="accent1">
                <a:lumMod val="40000"/>
                <a:lumOff val="60000"/>
              </a:schemeClr>
            </a:solidFill>
            <a:latin typeface="Latha"/>
            <a:ea typeface="+mn-ea"/>
            <a:cs typeface="Latha"/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6350</xdr:colOff>
      <xdr:row>21</xdr:row>
      <xdr:rowOff>44450</xdr:rowOff>
    </xdr:from>
    <xdr:to>
      <xdr:col>46</xdr:col>
      <xdr:colOff>0</xdr:colOff>
      <xdr:row>25</xdr:row>
      <xdr:rowOff>50800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450850" y="1339850"/>
          <a:ext cx="2470150" cy="311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1">
              <a:solidFill>
                <a:schemeClr val="accent6">
                  <a:lumMod val="75000"/>
                </a:schemeClr>
              </a:solidFill>
            </a:rPr>
            <a:t>TOTAL</a:t>
          </a:r>
          <a:r>
            <a:rPr lang="pt-BR" sz="1100" b="1" baseline="0">
              <a:solidFill>
                <a:schemeClr val="accent6">
                  <a:lumMod val="75000"/>
                </a:schemeClr>
              </a:solidFill>
            </a:rPr>
            <a:t> DE </a:t>
          </a:r>
          <a:r>
            <a:rPr lang="pt-BR" sz="1100" b="1" baseline="0">
              <a:solidFill>
                <a:schemeClr val="accent6">
                  <a:lumMod val="75000"/>
                </a:schemeClr>
              </a:solidFill>
              <a:latin typeface="+mn-lt"/>
              <a:ea typeface="+mn-ea"/>
              <a:cs typeface="+mn-cs"/>
            </a:rPr>
            <a:t>ABORDAGENS</a:t>
          </a:r>
          <a:r>
            <a:rPr lang="pt-BR" sz="1100" b="1" baseline="0">
              <a:solidFill>
                <a:schemeClr val="accent6">
                  <a:lumMod val="75000"/>
                </a:schemeClr>
              </a:solidFill>
            </a:rPr>
            <a:t> SOCIAIS</a:t>
          </a:r>
          <a:endParaRPr lang="pt-BR" sz="11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24</xdr:col>
      <xdr:colOff>19050</xdr:colOff>
      <xdr:row>26</xdr:row>
      <xdr:rowOff>44450</xdr:rowOff>
    </xdr:from>
    <xdr:to>
      <xdr:col>34</xdr:col>
      <xdr:colOff>50800</xdr:colOff>
      <xdr:row>32</xdr:row>
      <xdr:rowOff>19050</xdr:rowOff>
    </xdr:to>
    <xdr:sp macro="" textlink="BD_Atend_Sociais!B2">
      <xdr:nvSpPr>
        <xdr:cNvPr id="3" name="CaixaDeTexto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1543050" y="1720850"/>
          <a:ext cx="666750" cy="431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FA81BEF-B9C9-4759-A11A-DEA1DADAA29F}" type="TxLink">
            <a:rPr lang="en-US" sz="2400" b="1" i="0" u="none" strike="noStrike">
              <a:solidFill>
                <a:schemeClr val="accent6">
                  <a:lumMod val="75000"/>
                </a:schemeClr>
              </a:solidFill>
              <a:latin typeface="Latha"/>
              <a:cs typeface="Latha"/>
            </a:rPr>
            <a:pPr/>
            <a:t>477</a:t>
          </a:fld>
          <a:endParaRPr lang="pt-BR" sz="24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 editAs="oneCell">
    <xdr:from>
      <xdr:col>13</xdr:col>
      <xdr:colOff>6349</xdr:colOff>
      <xdr:row>26</xdr:row>
      <xdr:rowOff>0</xdr:rowOff>
    </xdr:from>
    <xdr:to>
      <xdr:col>24</xdr:col>
      <xdr:colOff>42790</xdr:colOff>
      <xdr:row>34</xdr:row>
      <xdr:rowOff>6350</xdr:rowOff>
    </xdr:to>
    <xdr:pic>
      <xdr:nvPicPr>
        <xdr:cNvPr id="5" name="Gráfico 4" descr="Médico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31849" y="1676400"/>
          <a:ext cx="734941" cy="615950"/>
        </a:xfrm>
        <a:prstGeom prst="rect">
          <a:avLst/>
        </a:prstGeom>
      </xdr:spPr>
    </xdr:pic>
    <xdr:clientData/>
  </xdr:twoCellAnchor>
  <xdr:twoCellAnchor>
    <xdr:from>
      <xdr:col>1</xdr:col>
      <xdr:colOff>44450</xdr:colOff>
      <xdr:row>47</xdr:row>
      <xdr:rowOff>0</xdr:rowOff>
    </xdr:from>
    <xdr:to>
      <xdr:col>71</xdr:col>
      <xdr:colOff>0</xdr:colOff>
      <xdr:row>73</xdr:row>
      <xdr:rowOff>50800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31750</xdr:colOff>
      <xdr:row>47</xdr:row>
      <xdr:rowOff>0</xdr:rowOff>
    </xdr:from>
    <xdr:to>
      <xdr:col>71</xdr:col>
      <xdr:colOff>0</xdr:colOff>
      <xdr:row>47</xdr:row>
      <xdr:rowOff>0</xdr:rowOff>
    </xdr:to>
    <xdr:cxnSp macro="">
      <xdr:nvCxnSpPr>
        <xdr:cNvPr id="8" name="Conector reto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CxnSpPr/>
      </xdr:nvCxnSpPr>
      <xdr:spPr>
        <a:xfrm>
          <a:off x="95250" y="2971800"/>
          <a:ext cx="4413250" cy="0"/>
        </a:xfrm>
        <a:prstGeom prst="line">
          <a:avLst/>
        </a:prstGeom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43</xdr:row>
      <xdr:rowOff>28575</xdr:rowOff>
    </xdr:from>
    <xdr:to>
      <xdr:col>71</xdr:col>
      <xdr:colOff>0</xdr:colOff>
      <xdr:row>46</xdr:row>
      <xdr:rowOff>28575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 txBox="1"/>
      </xdr:nvSpPr>
      <xdr:spPr>
        <a:xfrm>
          <a:off x="66675" y="3305175"/>
          <a:ext cx="46672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1">
              <a:solidFill>
                <a:schemeClr val="accent6">
                  <a:lumMod val="75000"/>
                </a:schemeClr>
              </a:solidFill>
            </a:rPr>
            <a:t>ABORDAGENS</a:t>
          </a:r>
          <a:r>
            <a:rPr lang="pt-BR" sz="1100" b="1" baseline="0">
              <a:solidFill>
                <a:schemeClr val="accent6">
                  <a:lumMod val="75000"/>
                </a:schemeClr>
              </a:solidFill>
            </a:rPr>
            <a:t> SOCIAIS</a:t>
          </a:r>
          <a:endParaRPr lang="pt-BR" sz="11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76</xdr:col>
      <xdr:colOff>57150</xdr:colOff>
      <xdr:row>47</xdr:row>
      <xdr:rowOff>0</xdr:rowOff>
    </xdr:from>
    <xdr:to>
      <xdr:col>146</xdr:col>
      <xdr:colOff>11350</xdr:colOff>
      <xdr:row>73</xdr:row>
      <xdr:rowOff>49200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76</xdr:col>
      <xdr:colOff>0</xdr:colOff>
      <xdr:row>43</xdr:row>
      <xdr:rowOff>9525</xdr:rowOff>
    </xdr:from>
    <xdr:to>
      <xdr:col>146</xdr:col>
      <xdr:colOff>0</xdr:colOff>
      <xdr:row>46</xdr:row>
      <xdr:rowOff>9525</xdr:rowOff>
    </xdr:to>
    <xdr:sp macro="" textlink="">
      <xdr:nvSpPr>
        <xdr:cNvPr id="16" name="CaixaDeTexto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 txBox="1"/>
      </xdr:nvSpPr>
      <xdr:spPr>
        <a:xfrm>
          <a:off x="5067300" y="3286125"/>
          <a:ext cx="46672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1">
              <a:solidFill>
                <a:schemeClr val="accent6">
                  <a:lumMod val="75000"/>
                </a:schemeClr>
              </a:solidFill>
            </a:rPr>
            <a:t>ADMITIDOS</a:t>
          </a:r>
          <a:r>
            <a:rPr lang="pt-BR" sz="1100" b="1" baseline="0">
              <a:solidFill>
                <a:schemeClr val="accent6">
                  <a:lumMod val="75000"/>
                </a:schemeClr>
              </a:solidFill>
            </a:rPr>
            <a:t> / DEMITIDOS / TRABALHANDO</a:t>
          </a:r>
          <a:endParaRPr lang="pt-BR" sz="11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76</xdr:col>
      <xdr:colOff>50800</xdr:colOff>
      <xdr:row>46</xdr:row>
      <xdr:rowOff>69850</xdr:rowOff>
    </xdr:from>
    <xdr:to>
      <xdr:col>146</xdr:col>
      <xdr:colOff>19050</xdr:colOff>
      <xdr:row>47</xdr:row>
      <xdr:rowOff>0</xdr:rowOff>
    </xdr:to>
    <xdr:cxnSp macro="">
      <xdr:nvCxnSpPr>
        <xdr:cNvPr id="20" name="Conector reto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CxnSpPr/>
      </xdr:nvCxnSpPr>
      <xdr:spPr>
        <a:xfrm flipV="1">
          <a:off x="4876800" y="2965450"/>
          <a:ext cx="4413250" cy="6350"/>
        </a:xfrm>
        <a:prstGeom prst="line">
          <a:avLst/>
        </a:prstGeom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48</xdr:col>
      <xdr:colOff>50800</xdr:colOff>
      <xdr:row>21</xdr:row>
      <xdr:rowOff>57150</xdr:rowOff>
    </xdr:from>
    <xdr:to>
      <xdr:col>64</xdr:col>
      <xdr:colOff>57150</xdr:colOff>
      <xdr:row>25</xdr:row>
      <xdr:rowOff>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 txBox="1"/>
      </xdr:nvSpPr>
      <xdr:spPr>
        <a:xfrm>
          <a:off x="3251200" y="1657350"/>
          <a:ext cx="107315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1" baseline="0">
              <a:solidFill>
                <a:schemeClr val="accent6">
                  <a:lumMod val="75000"/>
                </a:schemeClr>
              </a:solidFill>
              <a:latin typeface="+mn-lt"/>
              <a:ea typeface="+mn-ea"/>
              <a:cs typeface="+mn-cs"/>
            </a:rPr>
            <a:t>ADMITIDOS</a:t>
          </a:r>
        </a:p>
      </xdr:txBody>
    </xdr:sp>
    <xdr:clientData/>
  </xdr:twoCellAnchor>
  <xdr:twoCellAnchor>
    <xdr:from>
      <xdr:col>58</xdr:col>
      <xdr:colOff>12700</xdr:colOff>
      <xdr:row>27</xdr:row>
      <xdr:rowOff>0</xdr:rowOff>
    </xdr:from>
    <xdr:to>
      <xdr:col>65</xdr:col>
      <xdr:colOff>0</xdr:colOff>
      <xdr:row>32</xdr:row>
      <xdr:rowOff>44450</xdr:rowOff>
    </xdr:to>
    <xdr:sp macro="" textlink="BD_Atend_Sociais!B6">
      <xdr:nvSpPr>
        <xdr:cNvPr id="22" name="CaixaDeTexto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 txBox="1"/>
      </xdr:nvSpPr>
      <xdr:spPr>
        <a:xfrm>
          <a:off x="3695700" y="2057400"/>
          <a:ext cx="431800" cy="425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81A94B74-2780-4E7B-B8B7-985CDC324068}" type="TxLink">
            <a:rPr lang="en-US" sz="2400" b="1" i="0" u="none" strike="noStrike">
              <a:solidFill>
                <a:schemeClr val="accent6">
                  <a:lumMod val="75000"/>
                </a:schemeClr>
              </a:solidFill>
              <a:latin typeface="Latha"/>
              <a:ea typeface="+mn-ea"/>
              <a:cs typeface="Latha"/>
            </a:rPr>
            <a:pPr marL="0" indent="0"/>
            <a:t>4</a:t>
          </a:fld>
          <a:endParaRPr lang="pt-BR" sz="2400" b="1" i="0" u="none" strike="noStrike">
            <a:solidFill>
              <a:schemeClr val="accent6">
                <a:lumMod val="75000"/>
              </a:schemeClr>
            </a:solidFill>
            <a:latin typeface="Latha"/>
            <a:ea typeface="+mn-ea"/>
            <a:cs typeface="Latha"/>
          </a:endParaRPr>
        </a:p>
      </xdr:txBody>
    </xdr:sp>
    <xdr:clientData/>
  </xdr:twoCellAnchor>
  <xdr:twoCellAnchor editAs="oneCell">
    <xdr:from>
      <xdr:col>48</xdr:col>
      <xdr:colOff>6350</xdr:colOff>
      <xdr:row>26</xdr:row>
      <xdr:rowOff>30850</xdr:rowOff>
    </xdr:from>
    <xdr:to>
      <xdr:col>57</xdr:col>
      <xdr:colOff>7250</xdr:colOff>
      <xdr:row>33</xdr:row>
      <xdr:rowOff>69850</xdr:rowOff>
    </xdr:to>
    <xdr:pic>
      <xdr:nvPicPr>
        <xdr:cNvPr id="24" name="Gráfico 23" descr="Pasta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054350" y="2012050"/>
          <a:ext cx="572400" cy="572400"/>
        </a:xfrm>
        <a:prstGeom prst="rect">
          <a:avLst/>
        </a:prstGeom>
      </xdr:spPr>
    </xdr:pic>
    <xdr:clientData/>
  </xdr:twoCellAnchor>
  <xdr:twoCellAnchor>
    <xdr:from>
      <xdr:col>72</xdr:col>
      <xdr:colOff>9525</xdr:colOff>
      <xdr:row>19</xdr:row>
      <xdr:rowOff>0</xdr:rowOff>
    </xdr:from>
    <xdr:to>
      <xdr:col>102</xdr:col>
      <xdr:colOff>60325</xdr:colOff>
      <xdr:row>26</xdr:row>
      <xdr:rowOff>38100</xdr:rowOff>
    </xdr:to>
    <xdr:sp macro="" textlink="">
      <xdr:nvSpPr>
        <xdr:cNvPr id="25" name="CaixaDeTexto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 txBox="1"/>
      </xdr:nvSpPr>
      <xdr:spPr>
        <a:xfrm>
          <a:off x="4810125" y="1447800"/>
          <a:ext cx="2051050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 b="1" baseline="0">
              <a:solidFill>
                <a:schemeClr val="accent6">
                  <a:lumMod val="75000"/>
                </a:schemeClr>
              </a:solidFill>
              <a:latin typeface="+mn-lt"/>
              <a:ea typeface="+mn-ea"/>
              <a:cs typeface="+mn-cs"/>
            </a:rPr>
            <a:t>ENCAMINHADOS PARA  CURSO E CAPACITAÇÃO</a:t>
          </a:r>
        </a:p>
      </xdr:txBody>
    </xdr:sp>
    <xdr:clientData/>
  </xdr:twoCellAnchor>
  <xdr:twoCellAnchor>
    <xdr:from>
      <xdr:col>88</xdr:col>
      <xdr:colOff>0</xdr:colOff>
      <xdr:row>27</xdr:row>
      <xdr:rowOff>0</xdr:rowOff>
    </xdr:from>
    <xdr:to>
      <xdr:col>96</xdr:col>
      <xdr:colOff>57150</xdr:colOff>
      <xdr:row>33</xdr:row>
      <xdr:rowOff>25400</xdr:rowOff>
    </xdr:to>
    <xdr:sp macro="" textlink="BD_Atend_Sociais!B4">
      <xdr:nvSpPr>
        <xdr:cNvPr id="26" name="CaixaDeTexto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 txBox="1"/>
      </xdr:nvSpPr>
      <xdr:spPr>
        <a:xfrm>
          <a:off x="5588000" y="1752600"/>
          <a:ext cx="565150" cy="482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4F0E4F86-BC5C-432C-911F-9CBD06896A9D}" type="TxLink">
            <a:rPr lang="en-US" sz="2400" b="1" i="0" u="none" strike="noStrike">
              <a:solidFill>
                <a:schemeClr val="accent6">
                  <a:lumMod val="75000"/>
                </a:schemeClr>
              </a:solidFill>
              <a:latin typeface="Latha"/>
              <a:ea typeface="+mn-ea"/>
              <a:cs typeface="Latha"/>
            </a:rPr>
            <a:pPr marL="0" indent="0"/>
            <a:t>43</a:t>
          </a:fld>
          <a:endParaRPr lang="pt-BR" sz="2400" b="1" i="0" u="none" strike="noStrike">
            <a:solidFill>
              <a:schemeClr val="accent6">
                <a:lumMod val="75000"/>
              </a:schemeClr>
            </a:solidFill>
            <a:latin typeface="Latha"/>
            <a:ea typeface="+mn-ea"/>
            <a:cs typeface="Latha"/>
          </a:endParaRPr>
        </a:p>
      </xdr:txBody>
    </xdr:sp>
    <xdr:clientData/>
  </xdr:twoCellAnchor>
  <xdr:twoCellAnchor editAs="oneCell">
    <xdr:from>
      <xdr:col>78</xdr:col>
      <xdr:colOff>0</xdr:colOff>
      <xdr:row>26</xdr:row>
      <xdr:rowOff>31750</xdr:rowOff>
    </xdr:from>
    <xdr:to>
      <xdr:col>87</xdr:col>
      <xdr:colOff>0</xdr:colOff>
      <xdr:row>33</xdr:row>
      <xdr:rowOff>69850</xdr:rowOff>
    </xdr:to>
    <xdr:pic>
      <xdr:nvPicPr>
        <xdr:cNvPr id="28" name="Gráfico 27" descr="Sala de aula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53000" y="1708150"/>
          <a:ext cx="571500" cy="571500"/>
        </a:xfrm>
        <a:prstGeom prst="rect">
          <a:avLst/>
        </a:prstGeom>
      </xdr:spPr>
    </xdr:pic>
    <xdr:clientData/>
  </xdr:twoCellAnchor>
  <xdr:twoCellAnchor>
    <xdr:from>
      <xdr:col>1</xdr:col>
      <xdr:colOff>45800</xdr:colOff>
      <xdr:row>83</xdr:row>
      <xdr:rowOff>0</xdr:rowOff>
    </xdr:from>
    <xdr:to>
      <xdr:col>71</xdr:col>
      <xdr:colOff>0</xdr:colOff>
      <xdr:row>109</xdr:row>
      <xdr:rowOff>49200</xdr:rowOff>
    </xdr:to>
    <xdr:graphicFrame macro="">
      <xdr:nvGraphicFramePr>
        <xdr:cNvPr id="29" name="Gráfico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0</xdr:colOff>
      <xdr:row>83</xdr:row>
      <xdr:rowOff>0</xdr:rowOff>
    </xdr:from>
    <xdr:to>
      <xdr:col>71</xdr:col>
      <xdr:colOff>0</xdr:colOff>
      <xdr:row>83</xdr:row>
      <xdr:rowOff>0</xdr:rowOff>
    </xdr:to>
    <xdr:cxnSp macro="">
      <xdr:nvCxnSpPr>
        <xdr:cNvPr id="31" name="Conector reto 30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CxnSpPr/>
      </xdr:nvCxnSpPr>
      <xdr:spPr>
        <a:xfrm>
          <a:off x="127000" y="5715000"/>
          <a:ext cx="4381500" cy="0"/>
        </a:xfrm>
        <a:prstGeom prst="line">
          <a:avLst/>
        </a:prstGeom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0</xdr:col>
      <xdr:colOff>19050</xdr:colOff>
      <xdr:row>79</xdr:row>
      <xdr:rowOff>38100</xdr:rowOff>
    </xdr:from>
    <xdr:to>
      <xdr:col>70</xdr:col>
      <xdr:colOff>19050</xdr:colOff>
      <xdr:row>82</xdr:row>
      <xdr:rowOff>38100</xdr:rowOff>
    </xdr:to>
    <xdr:sp macro="" textlink="">
      <xdr:nvSpPr>
        <xdr:cNvPr id="32" name="CaixaDeTexto 31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 txBox="1"/>
      </xdr:nvSpPr>
      <xdr:spPr>
        <a:xfrm>
          <a:off x="19050" y="6057900"/>
          <a:ext cx="46672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1">
              <a:solidFill>
                <a:schemeClr val="accent6">
                  <a:lumMod val="75000"/>
                </a:schemeClr>
              </a:solidFill>
            </a:rPr>
            <a:t>ENCAMINHADOS</a:t>
          </a:r>
          <a:r>
            <a:rPr lang="pt-BR" sz="1100" b="1" baseline="0">
              <a:solidFill>
                <a:schemeClr val="accent6">
                  <a:lumMod val="75000"/>
                </a:schemeClr>
              </a:solidFill>
            </a:rPr>
            <a:t> PARA CURSO E CAPACITAÇÃO</a:t>
          </a:r>
          <a:endParaRPr lang="pt-BR" sz="11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108</xdr:col>
      <xdr:colOff>6350</xdr:colOff>
      <xdr:row>22</xdr:row>
      <xdr:rowOff>0</xdr:rowOff>
    </xdr:from>
    <xdr:to>
      <xdr:col>142</xdr:col>
      <xdr:colOff>57150</xdr:colOff>
      <xdr:row>25</xdr:row>
      <xdr:rowOff>0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6864350" y="1371600"/>
          <a:ext cx="22098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1" baseline="0">
              <a:solidFill>
                <a:schemeClr val="accent6">
                  <a:lumMod val="75000"/>
                </a:schemeClr>
              </a:solidFill>
              <a:latin typeface="+mn-lt"/>
              <a:ea typeface="+mn-ea"/>
              <a:cs typeface="+mn-cs"/>
            </a:rPr>
            <a:t>DEMAIS</a:t>
          </a:r>
          <a:r>
            <a:rPr lang="pt-BR" sz="1100"/>
            <a:t> </a:t>
          </a:r>
          <a:r>
            <a:rPr lang="pt-BR" sz="1100" b="1" baseline="0">
              <a:solidFill>
                <a:schemeClr val="accent6">
                  <a:lumMod val="75000"/>
                </a:schemeClr>
              </a:solidFill>
              <a:latin typeface="+mn-lt"/>
              <a:ea typeface="+mn-ea"/>
              <a:cs typeface="+mn-cs"/>
            </a:rPr>
            <a:t>ENCAMINHAMENTOS</a:t>
          </a:r>
        </a:p>
      </xdr:txBody>
    </xdr:sp>
    <xdr:clientData/>
  </xdr:twoCellAnchor>
  <xdr:twoCellAnchor>
    <xdr:from>
      <xdr:col>125</xdr:col>
      <xdr:colOff>57150</xdr:colOff>
      <xdr:row>26</xdr:row>
      <xdr:rowOff>57150</xdr:rowOff>
    </xdr:from>
    <xdr:to>
      <xdr:col>135</xdr:col>
      <xdr:colOff>44450</xdr:colOff>
      <xdr:row>33</xdr:row>
      <xdr:rowOff>44450</xdr:rowOff>
    </xdr:to>
    <xdr:sp macro="" textlink="Calculos_Atend_Sociais!B49">
      <xdr:nvSpPr>
        <xdr:cNvPr id="34" name="CaixaDeTexto 33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 txBox="1"/>
      </xdr:nvSpPr>
      <xdr:spPr>
        <a:xfrm>
          <a:off x="7994650" y="1733550"/>
          <a:ext cx="622300" cy="520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42EB8F1F-79CF-4E22-8AEA-FCEA15E1B631}" type="TxLink">
            <a:rPr lang="en-US" sz="2400" b="1" i="0" u="none" strike="noStrike">
              <a:solidFill>
                <a:schemeClr val="accent6">
                  <a:lumMod val="75000"/>
                </a:schemeClr>
              </a:solidFill>
              <a:latin typeface="Latha"/>
              <a:ea typeface="+mn-ea"/>
              <a:cs typeface="Latha"/>
            </a:rPr>
            <a:pPr marL="0" indent="0"/>
            <a:t>76</a:t>
          </a:fld>
          <a:endParaRPr lang="pt-BR" sz="2400" b="1" i="0" u="none" strike="noStrike">
            <a:solidFill>
              <a:schemeClr val="accent6">
                <a:lumMod val="75000"/>
              </a:schemeClr>
            </a:solidFill>
            <a:latin typeface="Latha"/>
            <a:ea typeface="+mn-ea"/>
            <a:cs typeface="Latha"/>
          </a:endParaRPr>
        </a:p>
      </xdr:txBody>
    </xdr:sp>
    <xdr:clientData/>
  </xdr:twoCellAnchor>
  <xdr:twoCellAnchor editAs="oneCell">
    <xdr:from>
      <xdr:col>117</xdr:col>
      <xdr:colOff>0</xdr:colOff>
      <xdr:row>26</xdr:row>
      <xdr:rowOff>44450</xdr:rowOff>
    </xdr:from>
    <xdr:to>
      <xdr:col>125</xdr:col>
      <xdr:colOff>25400</xdr:colOff>
      <xdr:row>33</xdr:row>
      <xdr:rowOff>44450</xdr:rowOff>
    </xdr:to>
    <xdr:pic>
      <xdr:nvPicPr>
        <xdr:cNvPr id="36" name="Gráfico 35" descr="Rede social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7429500" y="1720850"/>
          <a:ext cx="533400" cy="53340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83</xdr:row>
      <xdr:rowOff>0</xdr:rowOff>
    </xdr:from>
    <xdr:to>
      <xdr:col>146</xdr:col>
      <xdr:colOff>17700</xdr:colOff>
      <xdr:row>109</xdr:row>
      <xdr:rowOff>49200</xdr:rowOff>
    </xdr:to>
    <xdr:graphicFrame macro="">
      <xdr:nvGraphicFramePr>
        <xdr:cNvPr id="37" name="Gráfico 36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76</xdr:col>
      <xdr:colOff>0</xdr:colOff>
      <xdr:row>79</xdr:row>
      <xdr:rowOff>28575</xdr:rowOff>
    </xdr:from>
    <xdr:to>
      <xdr:col>146</xdr:col>
      <xdr:colOff>0</xdr:colOff>
      <xdr:row>82</xdr:row>
      <xdr:rowOff>28575</xdr:rowOff>
    </xdr:to>
    <xdr:sp macro="" textlink="">
      <xdr:nvSpPr>
        <xdr:cNvPr id="38" name="CaixaDeTexto 37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 txBox="1"/>
      </xdr:nvSpPr>
      <xdr:spPr>
        <a:xfrm>
          <a:off x="5067300" y="6048375"/>
          <a:ext cx="46672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1">
              <a:solidFill>
                <a:schemeClr val="accent6">
                  <a:lumMod val="75000"/>
                </a:schemeClr>
              </a:solidFill>
            </a:rPr>
            <a:t>DEMAIS</a:t>
          </a:r>
          <a:r>
            <a:rPr lang="pt-BR" sz="1100" b="1" baseline="0">
              <a:solidFill>
                <a:schemeClr val="accent6">
                  <a:lumMod val="75000"/>
                </a:schemeClr>
              </a:solidFill>
            </a:rPr>
            <a:t> ENCAMINHAMENTOS</a:t>
          </a:r>
          <a:endParaRPr lang="pt-BR" sz="11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38</xdr:row>
      <xdr:rowOff>38100</xdr:rowOff>
    </xdr:from>
    <xdr:to>
      <xdr:col>148</xdr:col>
      <xdr:colOff>0</xdr:colOff>
      <xdr:row>38</xdr:row>
      <xdr:rowOff>38100</xdr:rowOff>
    </xdr:to>
    <xdr:cxnSp macro="">
      <xdr:nvCxnSpPr>
        <xdr:cNvPr id="51" name="Conector reto 50">
          <a:extLs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CxnSpPr/>
      </xdr:nvCxnSpPr>
      <xdr:spPr>
        <a:xfrm>
          <a:off x="127000" y="2933700"/>
          <a:ext cx="9271000" cy="0"/>
        </a:xfrm>
        <a:prstGeom prst="line">
          <a:avLst/>
        </a:prstGeom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77</xdr:col>
      <xdr:colOff>0</xdr:colOff>
      <xdr:row>83</xdr:row>
      <xdr:rowOff>0</xdr:rowOff>
    </xdr:from>
    <xdr:to>
      <xdr:col>146</xdr:col>
      <xdr:colOff>0</xdr:colOff>
      <xdr:row>83</xdr:row>
      <xdr:rowOff>0</xdr:rowOff>
    </xdr:to>
    <xdr:cxnSp macro="">
      <xdr:nvCxnSpPr>
        <xdr:cNvPr id="55" name="Conector reto 54">
          <a:extLs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CxnSpPr/>
      </xdr:nvCxnSpPr>
      <xdr:spPr>
        <a:xfrm>
          <a:off x="4889500" y="6324600"/>
          <a:ext cx="4381500" cy="0"/>
        </a:xfrm>
        <a:prstGeom prst="line">
          <a:avLst/>
        </a:prstGeom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6350</xdr:colOff>
      <xdr:row>1</xdr:row>
      <xdr:rowOff>69850</xdr:rowOff>
    </xdr:from>
    <xdr:to>
      <xdr:col>80</xdr:col>
      <xdr:colOff>28413</xdr:colOff>
      <xdr:row>17</xdr:row>
      <xdr:rowOff>38102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GrpSpPr/>
      </xdr:nvGrpSpPr>
      <xdr:grpSpPr>
        <a:xfrm>
          <a:off x="69850" y="146050"/>
          <a:ext cx="5038563" cy="1187452"/>
          <a:chOff x="122400" y="50798"/>
          <a:chExt cx="5038563" cy="1187452"/>
        </a:xfrm>
      </xdr:grpSpPr>
      <xdr:pic>
        <xdr:nvPicPr>
          <xdr:cNvPr id="39" name="Imagem 38">
            <a:extLst>
              <a:ext uri="{FF2B5EF4-FFF2-40B4-BE49-F238E27FC236}">
                <a16:creationId xmlns:a16="http://schemas.microsoft.com/office/drawing/2014/main" id="{00000000-0008-0000-0600-00002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alphaModFix amt="7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2400" y="70993"/>
            <a:ext cx="1115850" cy="621155"/>
          </a:xfrm>
          <a:prstGeom prst="rect">
            <a:avLst/>
          </a:prstGeom>
        </xdr:spPr>
      </xdr:pic>
      <xdr:sp macro="" textlink="">
        <xdr:nvSpPr>
          <xdr:cNvPr id="40" name="CaixaDeTexto 39">
            <a:extLst>
              <a:ext uri="{FF2B5EF4-FFF2-40B4-BE49-F238E27FC236}">
                <a16:creationId xmlns:a16="http://schemas.microsoft.com/office/drawing/2014/main" id="{00000000-0008-0000-0600-000028000000}"/>
              </a:ext>
            </a:extLst>
          </xdr:cNvPr>
          <xdr:cNvSpPr txBox="1"/>
        </xdr:nvSpPr>
        <xdr:spPr>
          <a:xfrm>
            <a:off x="1127125" y="50798"/>
            <a:ext cx="4033838" cy="118745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300" b="1">
                <a:solidFill>
                  <a:schemeClr val="accent6">
                    <a:lumMod val="75000"/>
                  </a:schemeClr>
                </a:solidFill>
              </a:rPr>
              <a:t>Dashboard Flanelinhas</a:t>
            </a:r>
          </a:p>
          <a:p>
            <a:r>
              <a:rPr lang="pt-BR" sz="1300" b="1">
                <a:solidFill>
                  <a:schemeClr val="accent6">
                    <a:lumMod val="75000"/>
                  </a:schemeClr>
                </a:solidFill>
              </a:rPr>
              <a:t>Secretaria Municipal de Segurança - Smseg</a:t>
            </a:r>
          </a:p>
          <a:p>
            <a:r>
              <a:rPr lang="pt-BR" sz="1300" b="1">
                <a:solidFill>
                  <a:schemeClr val="accent6">
                    <a:lumMod val="75000"/>
                  </a:schemeClr>
                </a:solidFill>
              </a:rPr>
              <a:t>Unidade</a:t>
            </a:r>
            <a:r>
              <a:rPr lang="pt-BR" sz="1300" b="1" baseline="0">
                <a:solidFill>
                  <a:schemeClr val="accent6">
                    <a:lumMod val="75000"/>
                  </a:schemeClr>
                </a:solidFill>
              </a:rPr>
              <a:t> de Informações e Estatísticas - UIE</a:t>
            </a:r>
            <a:endParaRPr lang="pt-BR" sz="1300" b="1">
              <a:solidFill>
                <a:schemeClr val="accent6">
                  <a:lumMod val="75000"/>
                </a:schemeClr>
              </a:solidFill>
            </a:endParaRPr>
          </a:p>
        </xdr:txBody>
      </xdr:sp>
    </xdr:grpSp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0.72332</cdr:y>
    </cdr:from>
    <cdr:to>
      <cdr:x>0.17884</cdr:x>
      <cdr:y>0.95749</cdr:y>
    </cdr:to>
    <cdr:sp macro="" textlink="">
      <cdr:nvSpPr>
        <cdr:cNvPr id="3" name="CaixaDeTexto 54">
          <a:extLst xmlns:a="http://schemas.openxmlformats.org/drawingml/2006/main">
            <a:ext uri="{FF2B5EF4-FFF2-40B4-BE49-F238E27FC236}">
              <a16:creationId xmlns:a16="http://schemas.microsoft.com/office/drawing/2014/main" id="{081F8ACE-78B0-4B72-AB13-A3A2F60B83AB}"/>
            </a:ext>
          </a:extLst>
        </cdr:cNvPr>
        <cdr:cNvSpPr txBox="1"/>
      </cdr:nvSpPr>
      <cdr:spPr>
        <a:xfrm xmlns:a="http://schemas.openxmlformats.org/drawingml/2006/main">
          <a:off x="0" y="1489075"/>
          <a:ext cx="709613" cy="48207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/>
          <a:endParaRPr lang="pt-BR" sz="2400" b="0" i="0" u="none" strike="noStrike">
            <a:solidFill>
              <a:srgbClr val="FFC000"/>
            </a:solidFill>
            <a:latin typeface="Latha"/>
            <a:ea typeface="+mn-ea"/>
            <a:cs typeface="Latha"/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</cdr:x>
      <cdr:y>0.72332</cdr:y>
    </cdr:from>
    <cdr:to>
      <cdr:x>0.17884</cdr:x>
      <cdr:y>0.95749</cdr:y>
    </cdr:to>
    <cdr:sp macro="" textlink="">
      <cdr:nvSpPr>
        <cdr:cNvPr id="3" name="CaixaDeTexto 54">
          <a:extLst xmlns:a="http://schemas.openxmlformats.org/drawingml/2006/main">
            <a:ext uri="{FF2B5EF4-FFF2-40B4-BE49-F238E27FC236}">
              <a16:creationId xmlns:a16="http://schemas.microsoft.com/office/drawing/2014/main" id="{081F8ACE-78B0-4B72-AB13-A3A2F60B83AB}"/>
            </a:ext>
          </a:extLst>
        </cdr:cNvPr>
        <cdr:cNvSpPr txBox="1"/>
      </cdr:nvSpPr>
      <cdr:spPr>
        <a:xfrm xmlns:a="http://schemas.openxmlformats.org/drawingml/2006/main">
          <a:off x="0" y="1489075"/>
          <a:ext cx="709613" cy="48207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/>
          <a:endParaRPr lang="pt-BR" sz="2400" b="0" i="0" u="none" strike="noStrike">
            <a:solidFill>
              <a:srgbClr val="FFC000"/>
            </a:solidFill>
            <a:latin typeface="Latha"/>
            <a:ea typeface="+mn-ea"/>
            <a:cs typeface="Latha"/>
          </a:endParaRP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</cdr:x>
      <cdr:y>0.72332</cdr:y>
    </cdr:from>
    <cdr:to>
      <cdr:x>0.17884</cdr:x>
      <cdr:y>0.95749</cdr:y>
    </cdr:to>
    <cdr:sp macro="" textlink="">
      <cdr:nvSpPr>
        <cdr:cNvPr id="3" name="CaixaDeTexto 54">
          <a:extLst xmlns:a="http://schemas.openxmlformats.org/drawingml/2006/main">
            <a:ext uri="{FF2B5EF4-FFF2-40B4-BE49-F238E27FC236}">
              <a16:creationId xmlns:a16="http://schemas.microsoft.com/office/drawing/2014/main" id="{081F8ACE-78B0-4B72-AB13-A3A2F60B83AB}"/>
            </a:ext>
          </a:extLst>
        </cdr:cNvPr>
        <cdr:cNvSpPr txBox="1"/>
      </cdr:nvSpPr>
      <cdr:spPr>
        <a:xfrm xmlns:a="http://schemas.openxmlformats.org/drawingml/2006/main">
          <a:off x="0" y="1489075"/>
          <a:ext cx="709613" cy="48207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/>
          <a:endParaRPr lang="pt-BR" sz="2400" b="0" i="0" u="none" strike="noStrike">
            <a:solidFill>
              <a:srgbClr val="FFC000"/>
            </a:solidFill>
            <a:latin typeface="Latha"/>
            <a:ea typeface="+mn-ea"/>
            <a:cs typeface="Latha"/>
          </a:endParaRP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Abel F. da Silva" refreshedDate="43986.691495254629" missingItemsLimit="0" createdVersion="6" refreshedVersion="6" minRefreshableVersion="3" recordCount="16" xr:uid="{00000000-000A-0000-FFFF-FFFF0C000000}">
  <cacheSource type="worksheet">
    <worksheetSource name="Tabela2"/>
  </cacheSource>
  <cacheFields count="2">
    <cacheField name="TIPO" numFmtId="0">
      <sharedItems count="16">
        <s v="ABORDAGENS SOCIAIS"/>
        <s v="ENCAMINHADOS AO SINE / FASC"/>
        <s v="ENCAMINHADOS PARA CURSO E CAPACITAÇÃO"/>
        <s v="CURSO BÁSICO DE INFORMÁTICA (comparecimento)"/>
        <s v="ADMITIDOS"/>
        <s v="DEMITIDOS"/>
        <s v="TRABALHANDO"/>
        <s v="ACOLHIDOS EM ALBERGUE "/>
        <s v="INSCRITOS EM CADASTRO ÚNICO"/>
        <s v="CONFECCIONADOS DOCUMENTOS"/>
        <s v="CESTA BÁSICA"/>
        <s v="ENCAMINHADOS PARA PASSAGEM (TRI)"/>
        <s v="ENCAMINHADOS PARA O EJA"/>
        <s v="NÃO ACEITARAM ENCAMINHAMENTO"/>
        <s v="CURSO EM GESTÃO DE EXCELÊNCIA NO VAREJO (comparecimento)"/>
        <s v="NÃO COMPARECERAM (aos cursos)"/>
      </sharedItems>
    </cacheField>
    <cacheField name="Nº DE INDIVÍDUOS" numFmtId="0">
      <sharedItems containsSemiMixedTypes="0" containsString="0" containsNumber="1" containsInteger="1" minValue="1" maxValue="47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Abel F. da Silva" refreshedDate="43986.691495370367" missingItemsLimit="0" createdVersion="6" refreshedVersion="6" minRefreshableVersion="3" recordCount="258" xr:uid="{00000000-000A-0000-FFFF-FFFF09000000}">
  <cacheSource type="worksheet">
    <worksheetSource name="Tabela8"/>
  </cacheSource>
  <cacheFields count="16">
    <cacheField name="ID FLANELINHA" numFmtId="0">
      <sharedItems containsSemiMixedTypes="0" containsString="0" containsNumber="1" containsInteger="1" minValue="1" maxValue="258"/>
    </cacheField>
    <cacheField name="NOME" numFmtId="0">
      <sharedItems/>
    </cacheField>
    <cacheField name="ANTECENDENTES" numFmtId="0">
      <sharedItems containsString="0" containsBlank="1" containsNumber="1" containsInteger="1" minValue="0" maxValue="1" count="3">
        <n v="1"/>
        <n v="0"/>
        <m/>
      </sharedItems>
    </cacheField>
    <cacheField name="MANDADO" numFmtId="0">
      <sharedItems containsString="0" containsBlank="1" containsNumber="1" containsInteger="1" minValue="0" maxValue="1"/>
    </cacheField>
    <cacheField name="BAIRRO" numFmtId="0">
      <sharedItems count="18">
        <s v="PROTÁSIO ALVES"/>
        <s v="PRAIA DE BELAS"/>
        <s v="CENTRO HISTÓRICO"/>
        <s v="BOM FIM"/>
        <s v="FARROUPILHA"/>
        <s v="MARCÍLIO DIAS"/>
        <s v="CIDADE BAIXA "/>
        <s v="MENINO DEUS"/>
        <s v="RIO BRANCO"/>
        <s v="SANTA TEREZA"/>
        <s v="SANTANA"/>
        <s v="AZENHA"/>
        <s v="NÃO CONSTA"/>
        <s v="PETRÓPOLIS"/>
        <s v="CRISTO REDENTOR"/>
        <s v="RESTINGA"/>
        <s v="PASSO D'AREIA"/>
        <s v="AUXILIADORA"/>
      </sharedItems>
    </cacheField>
    <cacheField name="SEXO" numFmtId="0">
      <sharedItems count="2">
        <s v="MASCULINO "/>
        <s v="FEMININO"/>
      </sharedItems>
    </cacheField>
    <cacheField name="IDADE" numFmtId="0">
      <sharedItems containsSemiMixedTypes="0" containsString="0" containsNumber="1" containsInteger="1" minValue="0" maxValue="79" count="49">
        <n v="46"/>
        <n v="41"/>
        <n v="39"/>
        <n v="43"/>
        <n v="44"/>
        <n v="21"/>
        <n v="25"/>
        <n v="34"/>
        <n v="57"/>
        <n v="35"/>
        <n v="38"/>
        <n v="40"/>
        <n v="23"/>
        <n v="20"/>
        <n v="19"/>
        <n v="49"/>
        <n v="45"/>
        <n v="52"/>
        <n v="32"/>
        <n v="58"/>
        <n v="29"/>
        <n v="30"/>
        <n v="42"/>
        <n v="33"/>
        <n v="67"/>
        <n v="76"/>
        <n v="27"/>
        <n v="16"/>
        <n v="48"/>
        <n v="31"/>
        <n v="53"/>
        <n v="59"/>
        <n v="55"/>
        <n v="47"/>
        <n v="37"/>
        <n v="50"/>
        <n v="61"/>
        <n v="51"/>
        <n v="36"/>
        <n v="24"/>
        <n v="26"/>
        <n v="18"/>
        <n v="28"/>
        <n v="70"/>
        <n v="64"/>
        <n v="79"/>
        <n v="0"/>
        <n v="22"/>
        <n v="62"/>
      </sharedItems>
      <fieldGroup par="15"/>
    </cacheField>
    <cacheField name="1º PROCESSO SEI GERADO" numFmtId="0">
      <sharedItems containsString="0" containsBlank="1" containsNumber="1" containsInteger="1" minValue="1" maxValue="1"/>
    </cacheField>
    <cacheField name="2º  PROCESSO SEI GERADO" numFmtId="0">
      <sharedItems containsString="0" containsBlank="1" containsNumber="1" containsInteger="1" minValue="0" maxValue="1"/>
    </cacheField>
    <cacheField name="3º  PROCESSO SEI GERADO" numFmtId="0">
      <sharedItems containsString="0" containsBlank="1" containsNumber="1" containsInteger="1" minValue="0" maxValue="1"/>
    </cacheField>
    <cacheField name="4º  PROCESSO SEI GERADO" numFmtId="0">
      <sharedItems containsString="0" containsBlank="1" containsNumber="1" containsInteger="1" minValue="0" maxValue="1"/>
    </cacheField>
    <cacheField name="5º  PROCESSO SEI GERADO" numFmtId="0">
      <sharedItems containsString="0" containsBlank="1" containsNumber="1" containsInteger="1" minValue="0" maxValue="1"/>
    </cacheField>
    <cacheField name="6º  PROCESSO SEI GERADO" numFmtId="0">
      <sharedItems containsString="0" containsBlank="1" containsNumber="1" containsInteger="1" minValue="0" maxValue="1"/>
    </cacheField>
    <cacheField name="MÊS" numFmtId="0">
      <sharedItems count="6">
        <s v="JANEIRO"/>
        <s v="FEVEREIRO"/>
        <s v="MARÇO"/>
        <s v="ABRIL"/>
        <s v="MAIO"/>
        <s v="JUNHO"/>
      </sharedItems>
    </cacheField>
    <cacheField name="JOGOS" numFmtId="0">
      <sharedItems containsBlank="1" count="2">
        <m/>
        <s v="ESTÁDIO BEIRA-RIO"/>
      </sharedItems>
    </cacheField>
    <cacheField name="IDADE2" numFmtId="0" databaseField="0">
      <fieldGroup base="6">
        <discretePr count="49">
          <x v="3"/>
          <x v="3"/>
          <x v="3"/>
          <x v="3"/>
          <x v="3"/>
          <x v="1"/>
          <x v="1"/>
          <x v="2"/>
          <x v="4"/>
          <x v="2"/>
          <x v="3"/>
          <x v="3"/>
          <x v="1"/>
          <x v="1"/>
          <x v="1"/>
          <x v="4"/>
          <x v="3"/>
          <x v="4"/>
          <x v="2"/>
          <x v="4"/>
          <x v="2"/>
          <x v="2"/>
          <x v="3"/>
          <x v="2"/>
          <x v="5"/>
          <x v="6"/>
          <x v="2"/>
          <x v="1"/>
          <x v="4"/>
          <x v="2"/>
          <x v="4"/>
          <x v="5"/>
          <x v="4"/>
          <x v="3"/>
          <x v="3"/>
          <x v="4"/>
          <x v="5"/>
          <x v="4"/>
          <x v="2"/>
          <x v="1"/>
          <x v="2"/>
          <x v="1"/>
          <x v="2"/>
          <x v="6"/>
          <x v="5"/>
          <x v="6"/>
          <x v="0"/>
          <x v="7"/>
          <x v="8"/>
        </discretePr>
        <groupItems count="9">
          <n v="0"/>
          <s v="Agrupar1"/>
          <s v="Agrupar2"/>
          <s v="Agrupar3"/>
          <s v="Agrupar4"/>
          <s v="Agrupar5"/>
          <s v="Agrupar6"/>
          <n v="22"/>
          <n v="62"/>
        </groupItems>
      </fieldGroup>
    </cacheField>
  </cacheFields>
  <extLst>
    <ext xmlns:x14="http://schemas.microsoft.com/office/spreadsheetml/2009/9/main" uri="{725AE2AE-9491-48be-B2B4-4EB974FC3084}">
      <x14:pivotCacheDefinition pivotCacheId="30988484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">
  <r>
    <x v="0"/>
    <n v="477"/>
  </r>
  <r>
    <x v="1"/>
    <n v="216"/>
  </r>
  <r>
    <x v="2"/>
    <n v="43"/>
  </r>
  <r>
    <x v="3"/>
    <n v="6"/>
  </r>
  <r>
    <x v="4"/>
    <n v="4"/>
  </r>
  <r>
    <x v="5"/>
    <n v="1"/>
  </r>
  <r>
    <x v="6"/>
    <n v="3"/>
  </r>
  <r>
    <x v="7"/>
    <n v="2"/>
  </r>
  <r>
    <x v="8"/>
    <n v="36"/>
  </r>
  <r>
    <x v="9"/>
    <n v="8"/>
  </r>
  <r>
    <x v="10"/>
    <n v="2"/>
  </r>
  <r>
    <x v="11"/>
    <n v="22"/>
  </r>
  <r>
    <x v="12"/>
    <n v="6"/>
  </r>
  <r>
    <x v="13"/>
    <n v="261"/>
  </r>
  <r>
    <x v="14"/>
    <n v="3"/>
  </r>
  <r>
    <x v="15"/>
    <n v="3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8">
  <r>
    <n v="1"/>
    <s v=" ADAIR ROBERTO AMARANTE DA SILVA"/>
    <x v="0"/>
    <n v="0"/>
    <x v="0"/>
    <x v="0"/>
    <x v="0"/>
    <n v="1"/>
    <m/>
    <m/>
    <m/>
    <m/>
    <m/>
    <x v="0"/>
    <x v="0"/>
  </r>
  <r>
    <n v="2"/>
    <s v=" Anderson Ferreira da Silva"/>
    <x v="0"/>
    <n v="0"/>
    <x v="0"/>
    <x v="0"/>
    <x v="1"/>
    <n v="1"/>
    <m/>
    <m/>
    <m/>
    <m/>
    <m/>
    <x v="0"/>
    <x v="1"/>
  </r>
  <r>
    <n v="3"/>
    <s v=" CARLOS JULIANO AIRES MACHADO"/>
    <x v="0"/>
    <n v="0"/>
    <x v="0"/>
    <x v="0"/>
    <x v="2"/>
    <n v="1"/>
    <m/>
    <m/>
    <m/>
    <m/>
    <m/>
    <x v="0"/>
    <x v="0"/>
  </r>
  <r>
    <n v="4"/>
    <s v=" Carlos Luciano marquezotti"/>
    <x v="0"/>
    <n v="0"/>
    <x v="0"/>
    <x v="0"/>
    <x v="3"/>
    <n v="1"/>
    <m/>
    <m/>
    <m/>
    <m/>
    <m/>
    <x v="0"/>
    <x v="0"/>
  </r>
  <r>
    <n v="5"/>
    <s v=" CHARLES SANTOS SOUZA "/>
    <x v="0"/>
    <n v="0"/>
    <x v="0"/>
    <x v="0"/>
    <x v="3"/>
    <n v="1"/>
    <m/>
    <m/>
    <m/>
    <m/>
    <m/>
    <x v="0"/>
    <x v="0"/>
  </r>
  <r>
    <n v="6"/>
    <s v=" CLAUDIO RICARDO COELHO SANTOS "/>
    <x v="0"/>
    <n v="0"/>
    <x v="0"/>
    <x v="0"/>
    <x v="4"/>
    <n v="1"/>
    <m/>
    <m/>
    <m/>
    <m/>
    <m/>
    <x v="0"/>
    <x v="0"/>
  </r>
  <r>
    <n v="7"/>
    <s v=" Daniel Pereira Garcia"/>
    <x v="0"/>
    <n v="0"/>
    <x v="0"/>
    <x v="0"/>
    <x v="5"/>
    <n v="1"/>
    <m/>
    <m/>
    <m/>
    <m/>
    <m/>
    <x v="0"/>
    <x v="0"/>
  </r>
  <r>
    <n v="8"/>
    <s v=" Diogo Maurer de Souza"/>
    <x v="0"/>
    <n v="0"/>
    <x v="0"/>
    <x v="0"/>
    <x v="6"/>
    <n v="1"/>
    <m/>
    <m/>
    <m/>
    <m/>
    <m/>
    <x v="0"/>
    <x v="0"/>
  </r>
  <r>
    <n v="9"/>
    <s v=" EDMILSON PEREIRA SOUZA "/>
    <x v="0"/>
    <n v="0"/>
    <x v="0"/>
    <x v="0"/>
    <x v="7"/>
    <n v="1"/>
    <m/>
    <m/>
    <m/>
    <m/>
    <m/>
    <x v="0"/>
    <x v="0"/>
  </r>
  <r>
    <n v="10"/>
    <s v=" ÉLVIO IENSEN "/>
    <x v="0"/>
    <n v="0"/>
    <x v="0"/>
    <x v="0"/>
    <x v="8"/>
    <n v="1"/>
    <m/>
    <m/>
    <m/>
    <m/>
    <m/>
    <x v="0"/>
    <x v="0"/>
  </r>
  <r>
    <n v="11"/>
    <s v=" FABIANO FRANCISCO"/>
    <x v="0"/>
    <n v="0"/>
    <x v="0"/>
    <x v="0"/>
    <x v="9"/>
    <n v="1"/>
    <m/>
    <m/>
    <m/>
    <m/>
    <m/>
    <x v="0"/>
    <x v="0"/>
  </r>
  <r>
    <n v="12"/>
    <s v=" FABIANO SIQUEIRA MESSIAS "/>
    <x v="0"/>
    <n v="0"/>
    <x v="0"/>
    <x v="0"/>
    <x v="1"/>
    <n v="1"/>
    <m/>
    <m/>
    <m/>
    <m/>
    <m/>
    <x v="0"/>
    <x v="0"/>
  </r>
  <r>
    <n v="13"/>
    <s v=" Jéferson Silvino Oliveira da Silva"/>
    <x v="0"/>
    <n v="0"/>
    <x v="0"/>
    <x v="0"/>
    <x v="10"/>
    <n v="1"/>
    <m/>
    <m/>
    <m/>
    <m/>
    <m/>
    <x v="0"/>
    <x v="0"/>
  </r>
  <r>
    <n v="14"/>
    <s v=" Leandro Laudenir Dutra"/>
    <x v="0"/>
    <n v="0"/>
    <x v="0"/>
    <x v="0"/>
    <x v="11"/>
    <n v="1"/>
    <m/>
    <m/>
    <m/>
    <m/>
    <m/>
    <x v="0"/>
    <x v="0"/>
  </r>
  <r>
    <n v="15"/>
    <s v=" Márcio Henrique Chaves Padilha"/>
    <x v="0"/>
    <n v="0"/>
    <x v="0"/>
    <x v="0"/>
    <x v="4"/>
    <n v="1"/>
    <m/>
    <m/>
    <m/>
    <m/>
    <m/>
    <x v="0"/>
    <x v="0"/>
  </r>
  <r>
    <n v="16"/>
    <s v=" MATHEUS SANTIAGO BATISTA DA SILVA "/>
    <x v="1"/>
    <n v="0"/>
    <x v="0"/>
    <x v="0"/>
    <x v="12"/>
    <n v="1"/>
    <m/>
    <m/>
    <m/>
    <m/>
    <m/>
    <x v="0"/>
    <x v="0"/>
  </r>
  <r>
    <n v="17"/>
    <s v=" Maximiliano Franco Teixeira"/>
    <x v="0"/>
    <n v="0"/>
    <x v="0"/>
    <x v="0"/>
    <x v="13"/>
    <n v="1"/>
    <m/>
    <m/>
    <m/>
    <m/>
    <m/>
    <x v="0"/>
    <x v="1"/>
  </r>
  <r>
    <n v="18"/>
    <s v=" Patryck Israel Fraga Ribeiro"/>
    <x v="1"/>
    <n v="0"/>
    <x v="0"/>
    <x v="0"/>
    <x v="14"/>
    <n v="1"/>
    <m/>
    <m/>
    <m/>
    <m/>
    <m/>
    <x v="0"/>
    <x v="0"/>
  </r>
  <r>
    <n v="19"/>
    <s v=" ROBERTO CARLOS LEMOS FRANÇA"/>
    <x v="0"/>
    <n v="0"/>
    <x v="0"/>
    <x v="0"/>
    <x v="15"/>
    <n v="1"/>
    <m/>
    <m/>
    <m/>
    <m/>
    <m/>
    <x v="0"/>
    <x v="0"/>
  </r>
  <r>
    <n v="20"/>
    <s v=" Rossildes Júnior Machado Silveira"/>
    <x v="0"/>
    <n v="0"/>
    <x v="0"/>
    <x v="0"/>
    <x v="16"/>
    <n v="1"/>
    <m/>
    <m/>
    <m/>
    <m/>
    <m/>
    <x v="0"/>
    <x v="0"/>
  </r>
  <r>
    <n v="21"/>
    <s v=" Sandro Linhares da Silva"/>
    <x v="1"/>
    <n v="0"/>
    <x v="0"/>
    <x v="0"/>
    <x v="10"/>
    <n v="1"/>
    <m/>
    <m/>
    <m/>
    <m/>
    <m/>
    <x v="0"/>
    <x v="0"/>
  </r>
  <r>
    <n v="22"/>
    <s v=" Sérgio Luís Lopes Escobar"/>
    <x v="0"/>
    <n v="0"/>
    <x v="1"/>
    <x v="0"/>
    <x v="17"/>
    <n v="1"/>
    <m/>
    <m/>
    <m/>
    <m/>
    <m/>
    <x v="0"/>
    <x v="1"/>
  </r>
  <r>
    <n v="23"/>
    <s v=" TIAGO EDERSON CAVALHEIRO DOS SANTOS "/>
    <x v="0"/>
    <n v="0"/>
    <x v="1"/>
    <x v="0"/>
    <x v="18"/>
    <n v="1"/>
    <m/>
    <m/>
    <m/>
    <m/>
    <m/>
    <x v="0"/>
    <x v="0"/>
  </r>
  <r>
    <n v="24"/>
    <s v="Adilson Dias dos Santos"/>
    <x v="0"/>
    <n v="0"/>
    <x v="1"/>
    <x v="0"/>
    <x v="15"/>
    <n v="1"/>
    <m/>
    <m/>
    <m/>
    <m/>
    <m/>
    <x v="0"/>
    <x v="0"/>
  </r>
  <r>
    <n v="25"/>
    <s v="Anderson Capilheira de Oliveira"/>
    <x v="0"/>
    <n v="0"/>
    <x v="1"/>
    <x v="0"/>
    <x v="9"/>
    <n v="1"/>
    <m/>
    <m/>
    <m/>
    <m/>
    <m/>
    <x v="0"/>
    <x v="0"/>
  </r>
  <r>
    <n v="26"/>
    <s v="Anderson da Veiga Leite"/>
    <x v="0"/>
    <n v="0"/>
    <x v="1"/>
    <x v="0"/>
    <x v="6"/>
    <n v="1"/>
    <m/>
    <m/>
    <m/>
    <m/>
    <m/>
    <x v="0"/>
    <x v="0"/>
  </r>
  <r>
    <n v="27"/>
    <s v="Carlos Alberto da Silva Santos"/>
    <x v="0"/>
    <n v="0"/>
    <x v="1"/>
    <x v="0"/>
    <x v="4"/>
    <n v="1"/>
    <m/>
    <m/>
    <m/>
    <m/>
    <m/>
    <x v="0"/>
    <x v="0"/>
  </r>
  <r>
    <n v="28"/>
    <s v="CARLOS ROBERTO DA SILVA MARIA"/>
    <x v="0"/>
    <n v="0"/>
    <x v="1"/>
    <x v="0"/>
    <x v="19"/>
    <n v="1"/>
    <m/>
    <m/>
    <m/>
    <m/>
    <m/>
    <x v="0"/>
    <x v="0"/>
  </r>
  <r>
    <n v="29"/>
    <s v="CESAR PIVETTA DUPONT"/>
    <x v="0"/>
    <n v="0"/>
    <x v="1"/>
    <x v="0"/>
    <x v="20"/>
    <n v="1"/>
    <m/>
    <m/>
    <m/>
    <m/>
    <m/>
    <x v="0"/>
    <x v="0"/>
  </r>
  <r>
    <n v="30"/>
    <s v="CLAUDIO LINARES MENDES JUNIOR"/>
    <x v="0"/>
    <n v="0"/>
    <x v="1"/>
    <x v="0"/>
    <x v="20"/>
    <n v="1"/>
    <m/>
    <m/>
    <m/>
    <m/>
    <m/>
    <x v="0"/>
    <x v="0"/>
  </r>
  <r>
    <n v="31"/>
    <s v="Douglas Martins da Silva"/>
    <x v="0"/>
    <n v="0"/>
    <x v="1"/>
    <x v="0"/>
    <x v="21"/>
    <n v="1"/>
    <m/>
    <m/>
    <m/>
    <m/>
    <m/>
    <x v="0"/>
    <x v="0"/>
  </r>
  <r>
    <n v="32"/>
    <s v="EDINEI PEREIRA MEDINA"/>
    <x v="0"/>
    <n v="0"/>
    <x v="1"/>
    <x v="0"/>
    <x v="22"/>
    <n v="1"/>
    <m/>
    <m/>
    <m/>
    <m/>
    <m/>
    <x v="0"/>
    <x v="0"/>
  </r>
  <r>
    <n v="33"/>
    <s v="Émerson de Arruda Paes"/>
    <x v="1"/>
    <n v="0"/>
    <x v="1"/>
    <x v="0"/>
    <x v="23"/>
    <n v="1"/>
    <m/>
    <m/>
    <m/>
    <m/>
    <m/>
    <x v="0"/>
    <x v="0"/>
  </r>
  <r>
    <n v="34"/>
    <s v="Emidio Rodrigues de Oliveira"/>
    <x v="1"/>
    <n v="0"/>
    <x v="1"/>
    <x v="0"/>
    <x v="24"/>
    <n v="1"/>
    <m/>
    <m/>
    <m/>
    <m/>
    <m/>
    <x v="0"/>
    <x v="0"/>
  </r>
  <r>
    <n v="35"/>
    <s v="FLAVIO FERREIRA DA SILVA"/>
    <x v="0"/>
    <n v="0"/>
    <x v="1"/>
    <x v="0"/>
    <x v="25"/>
    <n v="1"/>
    <m/>
    <m/>
    <m/>
    <m/>
    <m/>
    <x v="0"/>
    <x v="0"/>
  </r>
  <r>
    <n v="36"/>
    <s v="GIOVANI BAUM"/>
    <x v="1"/>
    <n v="0"/>
    <x v="1"/>
    <x v="0"/>
    <x v="0"/>
    <n v="1"/>
    <m/>
    <m/>
    <m/>
    <m/>
    <m/>
    <x v="0"/>
    <x v="0"/>
  </r>
  <r>
    <n v="37"/>
    <s v="JACKSON DA SILVA BARBOSA"/>
    <x v="0"/>
    <n v="0"/>
    <x v="1"/>
    <x v="0"/>
    <x v="6"/>
    <n v="1"/>
    <m/>
    <m/>
    <m/>
    <m/>
    <m/>
    <x v="0"/>
    <x v="1"/>
  </r>
  <r>
    <n v="38"/>
    <s v="João Antonio da Silva"/>
    <x v="0"/>
    <n v="0"/>
    <x v="1"/>
    <x v="0"/>
    <x v="26"/>
    <n v="1"/>
    <m/>
    <m/>
    <m/>
    <m/>
    <m/>
    <x v="0"/>
    <x v="0"/>
  </r>
  <r>
    <n v="39"/>
    <s v="JOÃO PAULO GARCIA  CASTILHOS"/>
    <x v="0"/>
    <n v="0"/>
    <x v="2"/>
    <x v="0"/>
    <x v="13"/>
    <n v="1"/>
    <m/>
    <m/>
    <m/>
    <m/>
    <m/>
    <x v="0"/>
    <x v="0"/>
  </r>
  <r>
    <n v="40"/>
    <s v="Jonathan Lee Fernando Fraga Garcez Costa"/>
    <x v="0"/>
    <n v="1"/>
    <x v="2"/>
    <x v="0"/>
    <x v="27"/>
    <n v="1"/>
    <m/>
    <m/>
    <m/>
    <m/>
    <m/>
    <x v="0"/>
    <x v="0"/>
  </r>
  <r>
    <n v="41"/>
    <s v="JULIANO ASSIS DA SILVA"/>
    <x v="0"/>
    <n v="0"/>
    <x v="2"/>
    <x v="0"/>
    <x v="2"/>
    <n v="1"/>
    <m/>
    <m/>
    <m/>
    <m/>
    <m/>
    <x v="0"/>
    <x v="0"/>
  </r>
  <r>
    <n v="42"/>
    <s v="JURACI SOARES FILHO"/>
    <x v="1"/>
    <n v="0"/>
    <x v="2"/>
    <x v="0"/>
    <x v="28"/>
    <n v="1"/>
    <m/>
    <m/>
    <m/>
    <m/>
    <m/>
    <x v="0"/>
    <x v="0"/>
  </r>
  <r>
    <n v="43"/>
    <s v="LUIS CESAR DA SILVEIRA  NORONHA"/>
    <x v="0"/>
    <n v="0"/>
    <x v="2"/>
    <x v="0"/>
    <x v="19"/>
    <n v="1"/>
    <m/>
    <m/>
    <m/>
    <m/>
    <m/>
    <x v="0"/>
    <x v="0"/>
  </r>
  <r>
    <n v="44"/>
    <s v="MARCELO MULLER RODRIGUES"/>
    <x v="0"/>
    <n v="0"/>
    <x v="2"/>
    <x v="0"/>
    <x v="3"/>
    <n v="1"/>
    <m/>
    <m/>
    <m/>
    <m/>
    <m/>
    <x v="0"/>
    <x v="0"/>
  </r>
  <r>
    <n v="45"/>
    <s v="MARCO AURELIO DA SILVA"/>
    <x v="0"/>
    <n v="0"/>
    <x v="3"/>
    <x v="0"/>
    <x v="3"/>
    <n v="1"/>
    <m/>
    <m/>
    <m/>
    <m/>
    <m/>
    <x v="0"/>
    <x v="0"/>
  </r>
  <r>
    <n v="46"/>
    <s v="Marcos Vinicius da Silveira Rabello"/>
    <x v="0"/>
    <n v="0"/>
    <x v="3"/>
    <x v="0"/>
    <x v="13"/>
    <n v="1"/>
    <m/>
    <m/>
    <m/>
    <m/>
    <m/>
    <x v="0"/>
    <x v="0"/>
  </r>
  <r>
    <n v="47"/>
    <s v="MATHEUS HENRIQUE DOS SANTOS SOUZA"/>
    <x v="0"/>
    <n v="0"/>
    <x v="3"/>
    <x v="0"/>
    <x v="7"/>
    <n v="1"/>
    <m/>
    <m/>
    <m/>
    <m/>
    <m/>
    <x v="0"/>
    <x v="0"/>
  </r>
  <r>
    <n v="48"/>
    <s v="ORDONEZ ANTUNES"/>
    <x v="1"/>
    <n v="0"/>
    <x v="3"/>
    <x v="0"/>
    <x v="15"/>
    <n v="1"/>
    <m/>
    <m/>
    <m/>
    <m/>
    <m/>
    <x v="0"/>
    <x v="1"/>
  </r>
  <r>
    <n v="49"/>
    <s v="Paulo Evandro Matos Ferraz"/>
    <x v="0"/>
    <n v="0"/>
    <x v="3"/>
    <x v="0"/>
    <x v="9"/>
    <n v="1"/>
    <m/>
    <m/>
    <m/>
    <m/>
    <m/>
    <x v="0"/>
    <x v="0"/>
  </r>
  <r>
    <n v="50"/>
    <s v="PAULO ROBERTO NASCIMENTO DOS SANTOS"/>
    <x v="0"/>
    <n v="0"/>
    <x v="3"/>
    <x v="0"/>
    <x v="17"/>
    <n v="1"/>
    <m/>
    <m/>
    <m/>
    <m/>
    <m/>
    <x v="0"/>
    <x v="0"/>
  </r>
  <r>
    <n v="51"/>
    <s v="Roberto Carlos de Vargas Souza"/>
    <x v="0"/>
    <n v="0"/>
    <x v="4"/>
    <x v="0"/>
    <x v="21"/>
    <n v="1"/>
    <m/>
    <m/>
    <m/>
    <m/>
    <m/>
    <x v="0"/>
    <x v="0"/>
  </r>
  <r>
    <n v="52"/>
    <s v="RODRIGO BRAGA MOREIRA"/>
    <x v="0"/>
    <n v="0"/>
    <x v="4"/>
    <x v="0"/>
    <x v="4"/>
    <n v="1"/>
    <m/>
    <m/>
    <m/>
    <m/>
    <m/>
    <x v="0"/>
    <x v="0"/>
  </r>
  <r>
    <n v="53"/>
    <s v="SALATIÉL ALONSO FRAGOSO"/>
    <x v="0"/>
    <n v="0"/>
    <x v="4"/>
    <x v="0"/>
    <x v="2"/>
    <n v="1"/>
    <m/>
    <m/>
    <m/>
    <m/>
    <m/>
    <x v="0"/>
    <x v="0"/>
  </r>
  <r>
    <n v="54"/>
    <s v="VALDOIR PINTO BATISTA"/>
    <x v="1"/>
    <n v="0"/>
    <x v="4"/>
    <x v="0"/>
    <x v="10"/>
    <n v="1"/>
    <m/>
    <m/>
    <m/>
    <m/>
    <m/>
    <x v="0"/>
    <x v="0"/>
  </r>
  <r>
    <n v="55"/>
    <s v="Paulo dos Santos"/>
    <x v="0"/>
    <n v="0"/>
    <x v="5"/>
    <x v="0"/>
    <x v="22"/>
    <n v="1"/>
    <m/>
    <m/>
    <m/>
    <m/>
    <m/>
    <x v="0"/>
    <x v="0"/>
  </r>
  <r>
    <n v="56"/>
    <s v="CAROLINE DOS SANTOS LACERDA"/>
    <x v="0"/>
    <n v="0"/>
    <x v="5"/>
    <x v="1"/>
    <x v="12"/>
    <n v="1"/>
    <m/>
    <m/>
    <m/>
    <m/>
    <m/>
    <x v="0"/>
    <x v="0"/>
  </r>
  <r>
    <n v="57"/>
    <s v="Antonio Marcos Oliveira"/>
    <x v="1"/>
    <n v="0"/>
    <x v="5"/>
    <x v="0"/>
    <x v="11"/>
    <n v="1"/>
    <m/>
    <m/>
    <m/>
    <m/>
    <m/>
    <x v="0"/>
    <x v="0"/>
  </r>
  <r>
    <n v="58"/>
    <s v="Marcelo Gomes"/>
    <x v="0"/>
    <n v="0"/>
    <x v="5"/>
    <x v="0"/>
    <x v="7"/>
    <n v="1"/>
    <m/>
    <m/>
    <m/>
    <m/>
    <m/>
    <x v="0"/>
    <x v="0"/>
  </r>
  <r>
    <n v="59"/>
    <s v=" Jairo Lima da Conceição"/>
    <x v="0"/>
    <n v="0"/>
    <x v="6"/>
    <x v="0"/>
    <x v="10"/>
    <n v="1"/>
    <m/>
    <m/>
    <m/>
    <m/>
    <m/>
    <x v="0"/>
    <x v="0"/>
  </r>
  <r>
    <n v="60"/>
    <s v=" CARLOS JULIANO AIRES MACHADO"/>
    <x v="0"/>
    <n v="0"/>
    <x v="6"/>
    <x v="0"/>
    <x v="2"/>
    <m/>
    <n v="1"/>
    <m/>
    <m/>
    <m/>
    <m/>
    <x v="0"/>
    <x v="0"/>
  </r>
  <r>
    <n v="61"/>
    <s v=" Leandro Laudenir Dutra"/>
    <x v="0"/>
    <n v="0"/>
    <x v="7"/>
    <x v="0"/>
    <x v="11"/>
    <m/>
    <n v="1"/>
    <m/>
    <m/>
    <m/>
    <m/>
    <x v="0"/>
    <x v="0"/>
  </r>
  <r>
    <n v="62"/>
    <s v="Anderson Capilheira de Oliveira"/>
    <x v="0"/>
    <n v="0"/>
    <x v="7"/>
    <x v="0"/>
    <x v="9"/>
    <m/>
    <n v="1"/>
    <m/>
    <m/>
    <m/>
    <m/>
    <x v="0"/>
    <x v="0"/>
  </r>
  <r>
    <n v="63"/>
    <s v="João Antonio da Silva"/>
    <x v="0"/>
    <n v="0"/>
    <x v="8"/>
    <x v="0"/>
    <x v="26"/>
    <m/>
    <n v="1"/>
    <m/>
    <m/>
    <m/>
    <m/>
    <x v="0"/>
    <x v="0"/>
  </r>
  <r>
    <n v="64"/>
    <s v="PAULO ROBERTO NASCIMENTO DOS SANTOS"/>
    <x v="0"/>
    <n v="0"/>
    <x v="8"/>
    <x v="0"/>
    <x v="17"/>
    <m/>
    <n v="1"/>
    <m/>
    <m/>
    <m/>
    <m/>
    <x v="0"/>
    <x v="0"/>
  </r>
  <r>
    <n v="65"/>
    <s v=" Hamílton Cezário de Abreu"/>
    <x v="0"/>
    <n v="0"/>
    <x v="1"/>
    <x v="0"/>
    <x v="29"/>
    <n v="1"/>
    <m/>
    <m/>
    <m/>
    <m/>
    <m/>
    <x v="1"/>
    <x v="0"/>
  </r>
  <r>
    <n v="66"/>
    <s v=" Nilson Cristiano Morsch"/>
    <x v="1"/>
    <n v="0"/>
    <x v="1"/>
    <x v="0"/>
    <x v="4"/>
    <n v="1"/>
    <m/>
    <m/>
    <m/>
    <m/>
    <m/>
    <x v="1"/>
    <x v="0"/>
  </r>
  <r>
    <n v="67"/>
    <s v="  Juarez Figueiredo da Costa"/>
    <x v="0"/>
    <n v="0"/>
    <x v="1"/>
    <x v="0"/>
    <x v="30"/>
    <n v="1"/>
    <m/>
    <m/>
    <m/>
    <m/>
    <m/>
    <x v="1"/>
    <x v="0"/>
  </r>
  <r>
    <n v="68"/>
    <s v=" Wagner Dutra de Lima"/>
    <x v="0"/>
    <n v="0"/>
    <x v="1"/>
    <x v="0"/>
    <x v="29"/>
    <n v="1"/>
    <m/>
    <m/>
    <m/>
    <m/>
    <m/>
    <x v="1"/>
    <x v="0"/>
  </r>
  <r>
    <n v="69"/>
    <s v=" emerson fernando alves da silva"/>
    <x v="0"/>
    <n v="0"/>
    <x v="1"/>
    <x v="0"/>
    <x v="26"/>
    <n v="1"/>
    <m/>
    <m/>
    <m/>
    <m/>
    <m/>
    <x v="1"/>
    <x v="0"/>
  </r>
  <r>
    <n v="70"/>
    <s v=" José Luis Pereira"/>
    <x v="0"/>
    <n v="0"/>
    <x v="1"/>
    <x v="0"/>
    <x v="31"/>
    <n v="1"/>
    <m/>
    <m/>
    <m/>
    <m/>
    <m/>
    <x v="1"/>
    <x v="0"/>
  </r>
  <r>
    <n v="71"/>
    <s v=" Saul Pereira Silva"/>
    <x v="0"/>
    <n v="0"/>
    <x v="1"/>
    <x v="0"/>
    <x v="9"/>
    <n v="1"/>
    <m/>
    <m/>
    <m/>
    <m/>
    <m/>
    <x v="1"/>
    <x v="0"/>
  </r>
  <r>
    <n v="72"/>
    <s v="EDUARDO GOMES DE ARAUJO VIANNA"/>
    <x v="0"/>
    <n v="0"/>
    <x v="1"/>
    <x v="0"/>
    <x v="20"/>
    <n v="1"/>
    <m/>
    <m/>
    <m/>
    <m/>
    <m/>
    <x v="1"/>
    <x v="0"/>
  </r>
  <r>
    <n v="73"/>
    <s v="JOÃO COSTA JARDIN"/>
    <x v="0"/>
    <n v="0"/>
    <x v="1"/>
    <x v="0"/>
    <x v="28"/>
    <n v="1"/>
    <m/>
    <m/>
    <m/>
    <m/>
    <m/>
    <x v="1"/>
    <x v="1"/>
  </r>
  <r>
    <n v="74"/>
    <s v="PAULO RICARDO DO AMARAL RAYMUNDO"/>
    <x v="0"/>
    <n v="1"/>
    <x v="1"/>
    <x v="0"/>
    <x v="32"/>
    <n v="1"/>
    <m/>
    <m/>
    <m/>
    <m/>
    <m/>
    <x v="1"/>
    <x v="0"/>
  </r>
  <r>
    <n v="75"/>
    <s v="CLAUDIOMIRO DO AMARAL RAYMUNDO"/>
    <x v="0"/>
    <n v="0"/>
    <x v="1"/>
    <x v="0"/>
    <x v="33"/>
    <n v="1"/>
    <m/>
    <m/>
    <m/>
    <m/>
    <m/>
    <x v="1"/>
    <x v="0"/>
  </r>
  <r>
    <n v="76"/>
    <s v="LEANDRO LEITE DA SILVA"/>
    <x v="0"/>
    <n v="0"/>
    <x v="1"/>
    <x v="0"/>
    <x v="34"/>
    <n v="1"/>
    <m/>
    <m/>
    <m/>
    <m/>
    <m/>
    <x v="1"/>
    <x v="0"/>
  </r>
  <r>
    <n v="77"/>
    <s v="LEANDRO DE SOUZA GONÇALVES"/>
    <x v="0"/>
    <n v="0"/>
    <x v="1"/>
    <x v="0"/>
    <x v="22"/>
    <n v="1"/>
    <m/>
    <m/>
    <m/>
    <m/>
    <m/>
    <x v="1"/>
    <x v="0"/>
  </r>
  <r>
    <n v="78"/>
    <s v="TIAGO ROBERTO OLIVEIRA CONCEIÇÃO"/>
    <x v="0"/>
    <n v="0"/>
    <x v="1"/>
    <x v="0"/>
    <x v="18"/>
    <n v="1"/>
    <m/>
    <m/>
    <m/>
    <m/>
    <m/>
    <x v="1"/>
    <x v="0"/>
  </r>
  <r>
    <n v="79"/>
    <s v="  Anderson Neves Correia"/>
    <x v="0"/>
    <n v="0"/>
    <x v="1"/>
    <x v="0"/>
    <x v="3"/>
    <n v="1"/>
    <m/>
    <m/>
    <m/>
    <m/>
    <m/>
    <x v="1"/>
    <x v="0"/>
  </r>
  <r>
    <n v="80"/>
    <s v="  Jair Santos dos Santos"/>
    <x v="0"/>
    <n v="0"/>
    <x v="1"/>
    <x v="0"/>
    <x v="35"/>
    <n v="1"/>
    <m/>
    <m/>
    <m/>
    <m/>
    <m/>
    <x v="1"/>
    <x v="0"/>
  </r>
  <r>
    <n v="81"/>
    <s v="LUIS MANOEL KOVALUKUKS"/>
    <x v="1"/>
    <n v="0"/>
    <x v="1"/>
    <x v="0"/>
    <x v="36"/>
    <n v="1"/>
    <m/>
    <m/>
    <m/>
    <m/>
    <m/>
    <x v="1"/>
    <x v="0"/>
  </r>
  <r>
    <n v="82"/>
    <s v="ANDERSON LUIZ RAMOS BARCELOS"/>
    <x v="0"/>
    <n v="0"/>
    <x v="1"/>
    <x v="0"/>
    <x v="3"/>
    <n v="1"/>
    <m/>
    <m/>
    <m/>
    <m/>
    <m/>
    <x v="1"/>
    <x v="0"/>
  </r>
  <r>
    <n v="83"/>
    <s v="EDISON LUIZ BARBOSA"/>
    <x v="0"/>
    <n v="0"/>
    <x v="1"/>
    <x v="0"/>
    <x v="37"/>
    <n v="1"/>
    <m/>
    <m/>
    <m/>
    <m/>
    <m/>
    <x v="1"/>
    <x v="1"/>
  </r>
  <r>
    <n v="84"/>
    <s v="ADAILTON DIAS SANTOS"/>
    <x v="0"/>
    <n v="0"/>
    <x v="1"/>
    <x v="0"/>
    <x v="33"/>
    <n v="1"/>
    <m/>
    <m/>
    <m/>
    <m/>
    <m/>
    <x v="1"/>
    <x v="1"/>
  </r>
  <r>
    <n v="85"/>
    <s v="ELIAS FLORES JUNIOR"/>
    <x v="0"/>
    <n v="0"/>
    <x v="1"/>
    <x v="0"/>
    <x v="20"/>
    <n v="1"/>
    <m/>
    <m/>
    <m/>
    <m/>
    <m/>
    <x v="1"/>
    <x v="0"/>
  </r>
  <r>
    <n v="86"/>
    <s v="FERNANDO LÚCIO"/>
    <x v="0"/>
    <n v="0"/>
    <x v="1"/>
    <x v="0"/>
    <x v="33"/>
    <n v="1"/>
    <m/>
    <m/>
    <m/>
    <m/>
    <m/>
    <x v="1"/>
    <x v="0"/>
  </r>
  <r>
    <n v="87"/>
    <s v="GÉLSON DE ALMEIDA VIERA"/>
    <x v="1"/>
    <n v="0"/>
    <x v="1"/>
    <x v="0"/>
    <x v="38"/>
    <n v="1"/>
    <m/>
    <m/>
    <m/>
    <m/>
    <m/>
    <x v="1"/>
    <x v="0"/>
  </r>
  <r>
    <n v="88"/>
    <s v="CARLOS ALBERTO DE OLVEIRA CARDOSO"/>
    <x v="0"/>
    <n v="1"/>
    <x v="1"/>
    <x v="0"/>
    <x v="35"/>
    <n v="1"/>
    <m/>
    <m/>
    <m/>
    <m/>
    <m/>
    <x v="1"/>
    <x v="0"/>
  </r>
  <r>
    <n v="89"/>
    <s v="CLAUDEMIR LEMOS DA SILVA"/>
    <x v="0"/>
    <n v="0"/>
    <x v="1"/>
    <x v="0"/>
    <x v="23"/>
    <n v="1"/>
    <m/>
    <m/>
    <m/>
    <m/>
    <m/>
    <x v="1"/>
    <x v="0"/>
  </r>
  <r>
    <n v="90"/>
    <s v="JOSÉ RICARDO MOURA NUNES"/>
    <x v="0"/>
    <n v="0"/>
    <x v="1"/>
    <x v="0"/>
    <x v="32"/>
    <n v="1"/>
    <m/>
    <m/>
    <m/>
    <m/>
    <m/>
    <x v="1"/>
    <x v="0"/>
  </r>
  <r>
    <n v="91"/>
    <s v="STEVAN ÁVILA NUNES"/>
    <x v="0"/>
    <n v="0"/>
    <x v="1"/>
    <x v="0"/>
    <x v="39"/>
    <n v="1"/>
    <m/>
    <m/>
    <m/>
    <m/>
    <m/>
    <x v="1"/>
    <x v="0"/>
  </r>
  <r>
    <n v="92"/>
    <s v="MARCELO PEREIRA NASCIMENTO"/>
    <x v="0"/>
    <n v="0"/>
    <x v="1"/>
    <x v="0"/>
    <x v="1"/>
    <n v="1"/>
    <m/>
    <m/>
    <m/>
    <m/>
    <m/>
    <x v="1"/>
    <x v="0"/>
  </r>
  <r>
    <n v="93"/>
    <s v="FABIANO DA SILVA CONCEIÇÃO"/>
    <x v="0"/>
    <n v="0"/>
    <x v="1"/>
    <x v="0"/>
    <x v="7"/>
    <n v="1"/>
    <m/>
    <m/>
    <m/>
    <m/>
    <m/>
    <x v="1"/>
    <x v="0"/>
  </r>
  <r>
    <n v="94"/>
    <s v="SIDINEI PIRES DE SOUZA JUNIOR"/>
    <x v="0"/>
    <n v="0"/>
    <x v="1"/>
    <x v="0"/>
    <x v="40"/>
    <n v="1"/>
    <m/>
    <m/>
    <m/>
    <m/>
    <m/>
    <x v="1"/>
    <x v="0"/>
  </r>
  <r>
    <n v="95"/>
    <s v="LUIZ ANDRE BANDEIRA TRINDADE"/>
    <x v="0"/>
    <n v="0"/>
    <x v="1"/>
    <x v="0"/>
    <x v="11"/>
    <n v="1"/>
    <m/>
    <m/>
    <m/>
    <m/>
    <m/>
    <x v="1"/>
    <x v="0"/>
  </r>
  <r>
    <n v="95"/>
    <s v="JULIO CESAR SILVEIRA MOTA ALVES"/>
    <x v="0"/>
    <n v="0"/>
    <x v="1"/>
    <x v="0"/>
    <x v="34"/>
    <n v="1"/>
    <m/>
    <m/>
    <m/>
    <m/>
    <m/>
    <x v="1"/>
    <x v="0"/>
  </r>
  <r>
    <n v="97"/>
    <s v="RONALDO VARGAS SOARES"/>
    <x v="0"/>
    <n v="0"/>
    <x v="1"/>
    <x v="0"/>
    <x v="15"/>
    <n v="1"/>
    <m/>
    <m/>
    <m/>
    <m/>
    <m/>
    <x v="1"/>
    <x v="0"/>
  </r>
  <r>
    <n v="98"/>
    <s v="JORGE ANTÔNIO ANTUNES MARQUES"/>
    <x v="0"/>
    <n v="0"/>
    <x v="1"/>
    <x v="0"/>
    <x v="34"/>
    <n v="1"/>
    <m/>
    <m/>
    <m/>
    <m/>
    <m/>
    <x v="1"/>
    <x v="0"/>
  </r>
  <r>
    <n v="99"/>
    <s v="CARLOS GONÇALVES PINTO"/>
    <x v="0"/>
    <n v="0"/>
    <x v="1"/>
    <x v="0"/>
    <x v="35"/>
    <n v="1"/>
    <m/>
    <m/>
    <m/>
    <m/>
    <m/>
    <x v="1"/>
    <x v="1"/>
  </r>
  <r>
    <n v="100"/>
    <s v="MILTON ASSUMPÇÃO DE OLIVEIRA"/>
    <x v="0"/>
    <n v="0"/>
    <x v="1"/>
    <x v="0"/>
    <x v="30"/>
    <n v="1"/>
    <m/>
    <m/>
    <m/>
    <m/>
    <m/>
    <x v="1"/>
    <x v="1"/>
  </r>
  <r>
    <n v="101"/>
    <s v="PATRICK TAVARES MACHADO"/>
    <x v="0"/>
    <n v="0"/>
    <x v="2"/>
    <x v="0"/>
    <x v="40"/>
    <n v="1"/>
    <m/>
    <m/>
    <m/>
    <m/>
    <m/>
    <x v="1"/>
    <x v="0"/>
  </r>
  <r>
    <n v="102"/>
    <s v="DANIEL DIAS VAZ"/>
    <x v="0"/>
    <n v="0"/>
    <x v="2"/>
    <x v="0"/>
    <x v="1"/>
    <n v="1"/>
    <m/>
    <m/>
    <m/>
    <m/>
    <m/>
    <x v="1"/>
    <x v="0"/>
  </r>
  <r>
    <n v="103"/>
    <s v="MARCO AURÉLIO MACHADO DA SILVA"/>
    <x v="0"/>
    <n v="0"/>
    <x v="2"/>
    <x v="0"/>
    <x v="22"/>
    <n v="1"/>
    <m/>
    <m/>
    <m/>
    <m/>
    <m/>
    <x v="1"/>
    <x v="0"/>
  </r>
  <r>
    <n v="104"/>
    <s v="JOVANI RICARDO DE LIMA RODRIGUES"/>
    <x v="0"/>
    <n v="0"/>
    <x v="2"/>
    <x v="0"/>
    <x v="9"/>
    <n v="1"/>
    <m/>
    <m/>
    <m/>
    <m/>
    <m/>
    <x v="1"/>
    <x v="0"/>
  </r>
  <r>
    <n v="105"/>
    <s v="DIOGO FRANCISCO DA SILVA"/>
    <x v="0"/>
    <n v="0"/>
    <x v="2"/>
    <x v="0"/>
    <x v="6"/>
    <n v="1"/>
    <m/>
    <m/>
    <m/>
    <m/>
    <m/>
    <x v="1"/>
    <x v="0"/>
  </r>
  <r>
    <n v="106"/>
    <s v="ALISSON ROBERTO ABREU DA SILVA"/>
    <x v="0"/>
    <n v="0"/>
    <x v="2"/>
    <x v="0"/>
    <x v="21"/>
    <n v="1"/>
    <m/>
    <m/>
    <m/>
    <m/>
    <m/>
    <x v="1"/>
    <x v="1"/>
  </r>
  <r>
    <n v="107"/>
    <s v="FABIANO SILVA DOS SANTOS "/>
    <x v="0"/>
    <n v="0"/>
    <x v="2"/>
    <x v="0"/>
    <x v="11"/>
    <n v="1"/>
    <m/>
    <m/>
    <m/>
    <m/>
    <m/>
    <x v="1"/>
    <x v="0"/>
  </r>
  <r>
    <n v="108"/>
    <s v="RENATO DA SILVA ARAÚJO"/>
    <x v="0"/>
    <n v="1"/>
    <x v="2"/>
    <x v="0"/>
    <x v="15"/>
    <n v="1"/>
    <m/>
    <m/>
    <m/>
    <m/>
    <m/>
    <x v="1"/>
    <x v="0"/>
  </r>
  <r>
    <n v="109"/>
    <s v="CLÓVIS LUIS MOURA NUNES"/>
    <x v="0"/>
    <n v="0"/>
    <x v="2"/>
    <x v="0"/>
    <x v="28"/>
    <n v="1"/>
    <m/>
    <m/>
    <m/>
    <m/>
    <m/>
    <x v="1"/>
    <x v="0"/>
  </r>
  <r>
    <n v="110"/>
    <s v="ANDERSON AMARO DIAS"/>
    <x v="0"/>
    <n v="0"/>
    <x v="2"/>
    <x v="0"/>
    <x v="0"/>
    <n v="1"/>
    <m/>
    <m/>
    <m/>
    <m/>
    <m/>
    <x v="1"/>
    <x v="1"/>
  </r>
  <r>
    <n v="111"/>
    <s v="ANDERSON DUTRA SOARES"/>
    <x v="0"/>
    <n v="1"/>
    <x v="2"/>
    <x v="0"/>
    <x v="7"/>
    <n v="1"/>
    <m/>
    <m/>
    <m/>
    <m/>
    <m/>
    <x v="1"/>
    <x v="1"/>
  </r>
  <r>
    <n v="112"/>
    <s v="MÁRCIO ANDRE SOARES DE OLIVEIRA"/>
    <x v="0"/>
    <n v="0"/>
    <x v="2"/>
    <x v="0"/>
    <x v="11"/>
    <n v="1"/>
    <m/>
    <m/>
    <m/>
    <m/>
    <m/>
    <x v="1"/>
    <x v="1"/>
  </r>
  <r>
    <n v="113"/>
    <s v="DIONATHAN FRANCO TEIXEIRA"/>
    <x v="1"/>
    <n v="0"/>
    <x v="2"/>
    <x v="0"/>
    <x v="41"/>
    <n v="1"/>
    <m/>
    <m/>
    <m/>
    <m/>
    <m/>
    <x v="1"/>
    <x v="1"/>
  </r>
  <r>
    <n v="114"/>
    <s v="SÉRGIO PABLO DOS SANTOS ESCOBAR"/>
    <x v="0"/>
    <n v="0"/>
    <x v="2"/>
    <x v="0"/>
    <x v="14"/>
    <n v="1"/>
    <m/>
    <m/>
    <m/>
    <m/>
    <m/>
    <x v="1"/>
    <x v="1"/>
  </r>
  <r>
    <n v="115"/>
    <s v="FABRICIO BAIMA PEREIRA "/>
    <x v="0"/>
    <n v="0"/>
    <x v="2"/>
    <x v="0"/>
    <x v="3"/>
    <n v="1"/>
    <m/>
    <m/>
    <m/>
    <m/>
    <m/>
    <x v="1"/>
    <x v="0"/>
  </r>
  <r>
    <n v="116"/>
    <s v="DIEGO DE AZEVEDO PAES"/>
    <x v="0"/>
    <n v="0"/>
    <x v="2"/>
    <x v="0"/>
    <x v="21"/>
    <n v="1"/>
    <m/>
    <m/>
    <m/>
    <m/>
    <m/>
    <x v="1"/>
    <x v="0"/>
  </r>
  <r>
    <n v="117"/>
    <s v="MARIO AUGUSTO NEVES"/>
    <x v="0"/>
    <n v="0"/>
    <x v="2"/>
    <x v="0"/>
    <x v="16"/>
    <n v="1"/>
    <m/>
    <m/>
    <m/>
    <m/>
    <m/>
    <x v="1"/>
    <x v="0"/>
  </r>
  <r>
    <n v="118"/>
    <s v="JULIO CESAR DOS SANTOS DA ROSA"/>
    <x v="0"/>
    <n v="0"/>
    <x v="2"/>
    <x v="0"/>
    <x v="34"/>
    <n v="1"/>
    <m/>
    <m/>
    <m/>
    <m/>
    <m/>
    <x v="1"/>
    <x v="0"/>
  </r>
  <r>
    <n v="119"/>
    <s v="VALMIR REZERES CAMARGO"/>
    <x v="0"/>
    <n v="1"/>
    <x v="2"/>
    <x v="0"/>
    <x v="7"/>
    <n v="1"/>
    <m/>
    <m/>
    <m/>
    <m/>
    <m/>
    <x v="1"/>
    <x v="0"/>
  </r>
  <r>
    <n v="120"/>
    <s v="ANTÔNIO JESUINO NETO"/>
    <x v="0"/>
    <n v="0"/>
    <x v="2"/>
    <x v="0"/>
    <x v="42"/>
    <n v="1"/>
    <m/>
    <m/>
    <m/>
    <m/>
    <m/>
    <x v="1"/>
    <x v="0"/>
  </r>
  <r>
    <n v="121"/>
    <s v="JORGE ALEXANDRE DA LUZ"/>
    <x v="0"/>
    <n v="0"/>
    <x v="2"/>
    <x v="0"/>
    <x v="23"/>
    <n v="1"/>
    <m/>
    <m/>
    <m/>
    <m/>
    <m/>
    <x v="1"/>
    <x v="0"/>
  </r>
  <r>
    <n v="122"/>
    <s v="VALTER FORTES BITENCOURT"/>
    <x v="0"/>
    <n v="0"/>
    <x v="2"/>
    <x v="0"/>
    <x v="34"/>
    <n v="1"/>
    <m/>
    <m/>
    <m/>
    <m/>
    <m/>
    <x v="1"/>
    <x v="0"/>
  </r>
  <r>
    <n v="123"/>
    <s v="LUIS PAULO BARBOSA"/>
    <x v="0"/>
    <n v="0"/>
    <x v="2"/>
    <x v="0"/>
    <x v="18"/>
    <n v="1"/>
    <m/>
    <m/>
    <m/>
    <m/>
    <m/>
    <x v="1"/>
    <x v="0"/>
  </r>
  <r>
    <n v="124"/>
    <s v="LUIS MAURICIO SOUZA SILVEIRA "/>
    <x v="1"/>
    <n v="0"/>
    <x v="9"/>
    <x v="0"/>
    <x v="34"/>
    <n v="1"/>
    <m/>
    <m/>
    <m/>
    <m/>
    <m/>
    <x v="1"/>
    <x v="0"/>
  </r>
  <r>
    <n v="125"/>
    <s v="LEANDRO FONSECA VOLTA"/>
    <x v="1"/>
    <n v="0"/>
    <x v="9"/>
    <x v="0"/>
    <x v="3"/>
    <n v="1"/>
    <m/>
    <m/>
    <m/>
    <m/>
    <m/>
    <x v="1"/>
    <x v="0"/>
  </r>
  <r>
    <n v="126"/>
    <s v="ANDRÉ LUIS LOURENÇO MOREIRA"/>
    <x v="0"/>
    <n v="0"/>
    <x v="9"/>
    <x v="0"/>
    <x v="0"/>
    <n v="1"/>
    <m/>
    <m/>
    <m/>
    <m/>
    <m/>
    <x v="1"/>
    <x v="0"/>
  </r>
  <r>
    <n v="127"/>
    <s v="EVERTON DA SILVA DINARTTE"/>
    <x v="0"/>
    <n v="0"/>
    <x v="9"/>
    <x v="0"/>
    <x v="38"/>
    <n v="1"/>
    <m/>
    <m/>
    <m/>
    <m/>
    <m/>
    <x v="1"/>
    <x v="0"/>
  </r>
  <r>
    <n v="128"/>
    <s v="DOUGLAS MORAES MENDES "/>
    <x v="0"/>
    <n v="0"/>
    <x v="9"/>
    <x v="0"/>
    <x v="9"/>
    <n v="1"/>
    <m/>
    <m/>
    <m/>
    <m/>
    <m/>
    <x v="1"/>
    <x v="0"/>
  </r>
  <r>
    <n v="129"/>
    <s v="HILTON DOS SANTOS CUNHA "/>
    <x v="0"/>
    <n v="0"/>
    <x v="9"/>
    <x v="0"/>
    <x v="36"/>
    <n v="1"/>
    <m/>
    <m/>
    <m/>
    <m/>
    <m/>
    <x v="1"/>
    <x v="0"/>
  </r>
  <r>
    <n v="130"/>
    <s v="FABIANO DE ALMEIDA "/>
    <x v="0"/>
    <n v="0"/>
    <x v="9"/>
    <x v="0"/>
    <x v="11"/>
    <n v="1"/>
    <m/>
    <m/>
    <m/>
    <m/>
    <m/>
    <x v="1"/>
    <x v="0"/>
  </r>
  <r>
    <n v="131"/>
    <s v="LUIZ GUSTAVO DE SOUZA FERNANDES "/>
    <x v="0"/>
    <n v="0"/>
    <x v="9"/>
    <x v="0"/>
    <x v="3"/>
    <n v="1"/>
    <m/>
    <m/>
    <m/>
    <m/>
    <m/>
    <x v="1"/>
    <x v="1"/>
  </r>
  <r>
    <n v="132"/>
    <s v="ERNANDEZ NUNES DO AMARAL"/>
    <x v="0"/>
    <n v="0"/>
    <x v="9"/>
    <x v="0"/>
    <x v="10"/>
    <n v="1"/>
    <m/>
    <m/>
    <m/>
    <m/>
    <m/>
    <x v="1"/>
    <x v="0"/>
  </r>
  <r>
    <n v="133"/>
    <s v="RENATO SANTOS DA SILVA"/>
    <x v="0"/>
    <n v="0"/>
    <x v="9"/>
    <x v="0"/>
    <x v="9"/>
    <n v="1"/>
    <m/>
    <m/>
    <m/>
    <m/>
    <m/>
    <x v="1"/>
    <x v="0"/>
  </r>
  <r>
    <n v="134"/>
    <s v="MAX WILLIAN DA SILVA SOARES"/>
    <x v="0"/>
    <n v="0"/>
    <x v="9"/>
    <x v="0"/>
    <x v="39"/>
    <n v="1"/>
    <m/>
    <m/>
    <m/>
    <m/>
    <m/>
    <x v="1"/>
    <x v="0"/>
  </r>
  <r>
    <n v="135"/>
    <s v="ADILSON DE SOUZA COSTA "/>
    <x v="0"/>
    <n v="0"/>
    <x v="9"/>
    <x v="0"/>
    <x v="11"/>
    <n v="1"/>
    <m/>
    <m/>
    <m/>
    <m/>
    <m/>
    <x v="1"/>
    <x v="0"/>
  </r>
  <r>
    <n v="136"/>
    <s v="LUIS EDUARDO RAMOS FRANCO"/>
    <x v="0"/>
    <n v="0"/>
    <x v="9"/>
    <x v="0"/>
    <x v="26"/>
    <n v="1"/>
    <m/>
    <m/>
    <m/>
    <m/>
    <m/>
    <x v="1"/>
    <x v="0"/>
  </r>
  <r>
    <n v="137"/>
    <s v="VANDERCI JOSÉ PEREIRA DE SOUZA"/>
    <x v="0"/>
    <n v="0"/>
    <x v="9"/>
    <x v="0"/>
    <x v="33"/>
    <n v="1"/>
    <m/>
    <m/>
    <m/>
    <m/>
    <m/>
    <x v="1"/>
    <x v="0"/>
  </r>
  <r>
    <n v="138"/>
    <s v="RUDNEI PEREIRA MEDINA"/>
    <x v="0"/>
    <n v="0"/>
    <x v="9"/>
    <x v="0"/>
    <x v="22"/>
    <n v="1"/>
    <m/>
    <m/>
    <m/>
    <m/>
    <m/>
    <x v="1"/>
    <x v="0"/>
  </r>
  <r>
    <n v="139"/>
    <s v="EDEVALDO SACRAMENTO MORAIS"/>
    <x v="0"/>
    <n v="0"/>
    <x v="6"/>
    <x v="0"/>
    <x v="32"/>
    <n v="1"/>
    <m/>
    <m/>
    <m/>
    <m/>
    <m/>
    <x v="1"/>
    <x v="0"/>
  </r>
  <r>
    <n v="140"/>
    <s v="GERSON CAPILHEIRA DE OLIVEIRA"/>
    <x v="0"/>
    <n v="0"/>
    <x v="6"/>
    <x v="0"/>
    <x v="26"/>
    <n v="1"/>
    <m/>
    <m/>
    <m/>
    <m/>
    <m/>
    <x v="1"/>
    <x v="0"/>
  </r>
  <r>
    <n v="141"/>
    <s v="CARLOS ALBERTO DOS SANTOS "/>
    <x v="0"/>
    <n v="0"/>
    <x v="6"/>
    <x v="0"/>
    <x v="43"/>
    <n v="1"/>
    <m/>
    <m/>
    <m/>
    <m/>
    <m/>
    <x v="1"/>
    <x v="0"/>
  </r>
  <r>
    <n v="142"/>
    <s v="CARLOS ALBERTO DE OLIVEIRA CONCEIÇÃO"/>
    <x v="1"/>
    <n v="0"/>
    <x v="6"/>
    <x v="0"/>
    <x v="44"/>
    <n v="1"/>
    <m/>
    <m/>
    <m/>
    <m/>
    <m/>
    <x v="1"/>
    <x v="1"/>
  </r>
  <r>
    <n v="143"/>
    <s v="JAIR CAMARGO CABRAL"/>
    <x v="1"/>
    <n v="0"/>
    <x v="6"/>
    <x v="0"/>
    <x v="30"/>
    <n v="1"/>
    <m/>
    <m/>
    <m/>
    <m/>
    <m/>
    <x v="1"/>
    <x v="1"/>
  </r>
  <r>
    <n v="144"/>
    <s v="WILLIAN TAROUCO ESPINDOLA"/>
    <x v="0"/>
    <n v="0"/>
    <x v="6"/>
    <x v="0"/>
    <x v="26"/>
    <n v="1"/>
    <m/>
    <m/>
    <m/>
    <m/>
    <m/>
    <x v="1"/>
    <x v="0"/>
  </r>
  <r>
    <n v="145"/>
    <s v=" Diogo Maurer de Souza"/>
    <x v="0"/>
    <n v="0"/>
    <x v="6"/>
    <x v="0"/>
    <x v="6"/>
    <m/>
    <n v="1"/>
    <m/>
    <m/>
    <m/>
    <m/>
    <x v="1"/>
    <x v="0"/>
  </r>
  <r>
    <n v="146"/>
    <s v=" FABIANO FRANCISCO"/>
    <x v="0"/>
    <n v="0"/>
    <x v="6"/>
    <x v="0"/>
    <x v="9"/>
    <m/>
    <n v="1"/>
    <m/>
    <m/>
    <m/>
    <m/>
    <x v="1"/>
    <x v="1"/>
  </r>
  <r>
    <n v="147"/>
    <s v=" Márcio Henrique Chaves Padilha"/>
    <x v="0"/>
    <n v="0"/>
    <x v="4"/>
    <x v="0"/>
    <x v="4"/>
    <m/>
    <n v="1"/>
    <m/>
    <m/>
    <m/>
    <m/>
    <x v="1"/>
    <x v="0"/>
  </r>
  <r>
    <n v="148"/>
    <s v=" ROBERTO CARLOS LEMOS FRANÇA"/>
    <x v="0"/>
    <n v="0"/>
    <x v="4"/>
    <x v="0"/>
    <x v="15"/>
    <m/>
    <n v="1"/>
    <m/>
    <m/>
    <m/>
    <m/>
    <x v="1"/>
    <x v="0"/>
  </r>
  <r>
    <n v="149"/>
    <s v=" Sérgio Luís Lopes Escobar"/>
    <x v="0"/>
    <n v="0"/>
    <x v="4"/>
    <x v="0"/>
    <x v="17"/>
    <m/>
    <n v="1"/>
    <m/>
    <m/>
    <m/>
    <m/>
    <x v="1"/>
    <x v="0"/>
  </r>
  <r>
    <n v="150"/>
    <s v="CESAR PIVETTA DUPONT"/>
    <x v="0"/>
    <n v="0"/>
    <x v="4"/>
    <x v="0"/>
    <x v="20"/>
    <m/>
    <n v="1"/>
    <m/>
    <m/>
    <m/>
    <m/>
    <x v="1"/>
    <x v="0"/>
  </r>
  <r>
    <n v="151"/>
    <s v="MARCELO MULLER RODRIGUES"/>
    <x v="0"/>
    <n v="0"/>
    <x v="4"/>
    <x v="0"/>
    <x v="3"/>
    <m/>
    <n v="1"/>
    <m/>
    <m/>
    <m/>
    <m/>
    <x v="1"/>
    <x v="0"/>
  </r>
  <r>
    <n v="152"/>
    <s v="MARCO AURELIO DA SILVA"/>
    <x v="0"/>
    <n v="0"/>
    <x v="4"/>
    <x v="0"/>
    <x v="3"/>
    <m/>
    <n v="1"/>
    <m/>
    <m/>
    <m/>
    <m/>
    <x v="1"/>
    <x v="0"/>
  </r>
  <r>
    <n v="153"/>
    <s v="Antonio Marcos Oliveira"/>
    <x v="1"/>
    <n v="0"/>
    <x v="4"/>
    <x v="0"/>
    <x v="11"/>
    <m/>
    <n v="1"/>
    <m/>
    <m/>
    <m/>
    <m/>
    <x v="1"/>
    <x v="0"/>
  </r>
  <r>
    <n v="154"/>
    <s v=" Jairo Lima da Conceição"/>
    <x v="0"/>
    <n v="0"/>
    <x v="4"/>
    <x v="0"/>
    <x v="10"/>
    <m/>
    <n v="1"/>
    <m/>
    <m/>
    <m/>
    <m/>
    <x v="1"/>
    <x v="0"/>
  </r>
  <r>
    <n v="155"/>
    <s v="JOÃO COSTA JARDIN"/>
    <x v="0"/>
    <n v="0"/>
    <x v="10"/>
    <x v="0"/>
    <x v="28"/>
    <m/>
    <n v="1"/>
    <m/>
    <m/>
    <m/>
    <m/>
    <x v="1"/>
    <x v="0"/>
  </r>
  <r>
    <n v="156"/>
    <s v="LEANDRO DE SOUZA GONÇALVES"/>
    <x v="0"/>
    <n v="0"/>
    <x v="10"/>
    <x v="0"/>
    <x v="22"/>
    <m/>
    <n v="1"/>
    <m/>
    <m/>
    <m/>
    <m/>
    <x v="1"/>
    <x v="0"/>
  </r>
  <r>
    <n v="157"/>
    <s v="TIAGO ROBERTO OLIVEIRA CONCEIÇÃO"/>
    <x v="0"/>
    <n v="0"/>
    <x v="10"/>
    <x v="0"/>
    <x v="18"/>
    <m/>
    <n v="1"/>
    <m/>
    <m/>
    <m/>
    <m/>
    <x v="1"/>
    <x v="0"/>
  </r>
  <r>
    <n v="158"/>
    <s v="EDISON LUIZ BARBOSA"/>
    <x v="0"/>
    <n v="0"/>
    <x v="10"/>
    <x v="0"/>
    <x v="37"/>
    <m/>
    <n v="1"/>
    <m/>
    <m/>
    <m/>
    <m/>
    <x v="1"/>
    <x v="0"/>
  </r>
  <r>
    <n v="159"/>
    <s v="ADAILTON DIAS SANTOS"/>
    <x v="0"/>
    <n v="0"/>
    <x v="10"/>
    <x v="0"/>
    <x v="33"/>
    <m/>
    <n v="1"/>
    <m/>
    <m/>
    <m/>
    <m/>
    <x v="1"/>
    <x v="0"/>
  </r>
  <r>
    <n v="160"/>
    <s v="CARLOS ALBERTO DE OLVEIRA CARDOSO"/>
    <x v="0"/>
    <n v="0"/>
    <x v="10"/>
    <x v="0"/>
    <x v="35"/>
    <m/>
    <n v="1"/>
    <m/>
    <m/>
    <m/>
    <m/>
    <x v="1"/>
    <x v="0"/>
  </r>
  <r>
    <n v="161"/>
    <s v="STEVAN ÁVILA NUNES"/>
    <x v="0"/>
    <n v="0"/>
    <x v="10"/>
    <x v="0"/>
    <x v="26"/>
    <m/>
    <n v="1"/>
    <m/>
    <m/>
    <m/>
    <m/>
    <x v="1"/>
    <x v="0"/>
  </r>
  <r>
    <n v="162"/>
    <s v="DANIEL DIAS VAZ"/>
    <x v="0"/>
    <n v="0"/>
    <x v="7"/>
    <x v="0"/>
    <x v="1"/>
    <m/>
    <n v="1"/>
    <m/>
    <m/>
    <m/>
    <m/>
    <x v="1"/>
    <x v="1"/>
  </r>
  <r>
    <n v="163"/>
    <s v="DIEGO DE AZEVEDO PAES"/>
    <x v="0"/>
    <n v="0"/>
    <x v="7"/>
    <x v="0"/>
    <x v="21"/>
    <m/>
    <n v="1"/>
    <m/>
    <m/>
    <m/>
    <m/>
    <x v="1"/>
    <x v="0"/>
  </r>
  <r>
    <n v="164"/>
    <s v="CARLOS ALBERTO DE OLIVEIRA CONCEIÇÃO"/>
    <x v="0"/>
    <n v="0"/>
    <x v="7"/>
    <x v="0"/>
    <x v="44"/>
    <m/>
    <n v="1"/>
    <m/>
    <m/>
    <m/>
    <m/>
    <x v="1"/>
    <x v="0"/>
  </r>
  <r>
    <n v="165"/>
    <s v=" Leandro Laudenir Dutra"/>
    <x v="0"/>
    <n v="0"/>
    <x v="7"/>
    <x v="0"/>
    <x v="11"/>
    <m/>
    <m/>
    <n v="1"/>
    <m/>
    <m/>
    <m/>
    <x v="1"/>
    <x v="0"/>
  </r>
  <r>
    <n v="166"/>
    <s v="JOÃO COSTA JARDIN"/>
    <x v="0"/>
    <n v="0"/>
    <x v="11"/>
    <x v="0"/>
    <x v="28"/>
    <m/>
    <m/>
    <n v="1"/>
    <m/>
    <m/>
    <m/>
    <x v="1"/>
    <x v="0"/>
  </r>
  <r>
    <n v="167"/>
    <s v="LEANDRO DE SOUZA GONÇALVES"/>
    <x v="0"/>
    <n v="0"/>
    <x v="11"/>
    <x v="0"/>
    <x v="22"/>
    <m/>
    <m/>
    <n v="1"/>
    <m/>
    <m/>
    <m/>
    <x v="1"/>
    <x v="0"/>
  </r>
  <r>
    <n v="168"/>
    <s v="TIAGO ROBERTO OLIVEIRA CONCEIÇÃO"/>
    <x v="0"/>
    <n v="0"/>
    <x v="11"/>
    <x v="0"/>
    <x v="18"/>
    <m/>
    <m/>
    <n v="1"/>
    <m/>
    <m/>
    <m/>
    <x v="1"/>
    <x v="0"/>
  </r>
  <r>
    <n v="169"/>
    <s v="EDISON LUIZ BARBOSA"/>
    <x v="0"/>
    <n v="0"/>
    <x v="3"/>
    <x v="0"/>
    <x v="37"/>
    <m/>
    <m/>
    <n v="1"/>
    <m/>
    <m/>
    <m/>
    <x v="1"/>
    <x v="0"/>
  </r>
  <r>
    <n v="170"/>
    <s v="ADAILTON DIAS SANTOS"/>
    <x v="0"/>
    <n v="0"/>
    <x v="3"/>
    <x v="0"/>
    <x v="33"/>
    <m/>
    <m/>
    <n v="1"/>
    <m/>
    <m/>
    <m/>
    <x v="1"/>
    <x v="0"/>
  </r>
  <r>
    <n v="171"/>
    <s v=" Leandro Laudenir Dutra"/>
    <x v="0"/>
    <n v="0"/>
    <x v="8"/>
    <x v="0"/>
    <x v="11"/>
    <m/>
    <m/>
    <m/>
    <n v="1"/>
    <m/>
    <m/>
    <x v="1"/>
    <x v="0"/>
  </r>
  <r>
    <n v="172"/>
    <s v="ADAILTON DIAS SANTOS"/>
    <x v="0"/>
    <n v="0"/>
    <x v="8"/>
    <x v="0"/>
    <x v="33"/>
    <m/>
    <m/>
    <m/>
    <n v="1"/>
    <m/>
    <m/>
    <x v="1"/>
    <x v="0"/>
  </r>
  <r>
    <n v="173"/>
    <s v="ÉVERTON CRISTIANO DA SILVA ACOSTA"/>
    <x v="0"/>
    <n v="0"/>
    <x v="1"/>
    <x v="0"/>
    <x v="34"/>
    <n v="1"/>
    <m/>
    <m/>
    <m/>
    <m/>
    <m/>
    <x v="2"/>
    <x v="0"/>
  </r>
  <r>
    <n v="174"/>
    <s v="JACKSON BRITTO PACHECO"/>
    <x v="0"/>
    <n v="0"/>
    <x v="1"/>
    <x v="0"/>
    <x v="6"/>
    <n v="1"/>
    <m/>
    <m/>
    <m/>
    <m/>
    <m/>
    <x v="2"/>
    <x v="0"/>
  </r>
  <r>
    <n v="175"/>
    <s v="VINICIUS QUADROS DA SILVA"/>
    <x v="0"/>
    <n v="0"/>
    <x v="12"/>
    <x v="0"/>
    <x v="42"/>
    <n v="1"/>
    <m/>
    <m/>
    <m/>
    <m/>
    <m/>
    <x v="2"/>
    <x v="0"/>
  </r>
  <r>
    <n v="176"/>
    <s v="JOSÉ DA ROSA"/>
    <x v="0"/>
    <n v="0"/>
    <x v="12"/>
    <x v="0"/>
    <x v="9"/>
    <n v="1"/>
    <m/>
    <m/>
    <m/>
    <m/>
    <m/>
    <x v="2"/>
    <x v="0"/>
  </r>
  <r>
    <n v="177"/>
    <s v="CARLOS ROGÉRIO DE VARGAS ANSOLIN"/>
    <x v="0"/>
    <n v="0"/>
    <x v="1"/>
    <x v="0"/>
    <x v="33"/>
    <n v="1"/>
    <m/>
    <m/>
    <m/>
    <m/>
    <m/>
    <x v="2"/>
    <x v="0"/>
  </r>
  <r>
    <n v="178"/>
    <s v="ALEXANDRO CORIN DA SILVA"/>
    <x v="0"/>
    <n v="0"/>
    <x v="1"/>
    <x v="0"/>
    <x v="1"/>
    <n v="1"/>
    <m/>
    <m/>
    <m/>
    <m/>
    <m/>
    <x v="2"/>
    <x v="0"/>
  </r>
  <r>
    <n v="179"/>
    <s v="JORGE ROBERTO DOS SANTOS DA SILVA"/>
    <x v="0"/>
    <n v="0"/>
    <x v="1"/>
    <x v="0"/>
    <x v="33"/>
    <n v="1"/>
    <m/>
    <m/>
    <m/>
    <m/>
    <m/>
    <x v="2"/>
    <x v="0"/>
  </r>
  <r>
    <n v="180"/>
    <s v="JONAS DOS SANTOS "/>
    <x v="0"/>
    <n v="0"/>
    <x v="1"/>
    <x v="0"/>
    <x v="35"/>
    <n v="1"/>
    <m/>
    <m/>
    <m/>
    <m/>
    <m/>
    <x v="2"/>
    <x v="0"/>
  </r>
  <r>
    <n v="181"/>
    <s v="GABRIEL RAMOS VELOSO"/>
    <x v="0"/>
    <n v="0"/>
    <x v="1"/>
    <x v="0"/>
    <x v="40"/>
    <n v="1"/>
    <m/>
    <m/>
    <m/>
    <m/>
    <m/>
    <x v="2"/>
    <x v="0"/>
  </r>
  <r>
    <n v="182"/>
    <s v="ALEX SANDER PEREIRA ZENGER"/>
    <x v="0"/>
    <n v="0"/>
    <x v="12"/>
    <x v="0"/>
    <x v="38"/>
    <n v="1"/>
    <m/>
    <m/>
    <m/>
    <m/>
    <m/>
    <x v="2"/>
    <x v="0"/>
  </r>
  <r>
    <n v="183"/>
    <s v="MAICON CARDOSO DE OLIVEIRA"/>
    <x v="0"/>
    <n v="0"/>
    <x v="12"/>
    <x v="0"/>
    <x v="29"/>
    <n v="1"/>
    <m/>
    <m/>
    <m/>
    <m/>
    <m/>
    <x v="2"/>
    <x v="0"/>
  </r>
  <r>
    <n v="184"/>
    <s v="BRUNO TEIXEIRA FRANÇA"/>
    <x v="0"/>
    <n v="0"/>
    <x v="1"/>
    <x v="0"/>
    <x v="41"/>
    <n v="1"/>
    <m/>
    <m/>
    <m/>
    <m/>
    <m/>
    <x v="2"/>
    <x v="0"/>
  </r>
  <r>
    <n v="185"/>
    <s v="CARLOS CRISTIANO RODRIGUES DUTRA"/>
    <x v="0"/>
    <n v="0"/>
    <x v="7"/>
    <x v="0"/>
    <x v="2"/>
    <n v="1"/>
    <m/>
    <m/>
    <m/>
    <m/>
    <m/>
    <x v="2"/>
    <x v="0"/>
  </r>
  <r>
    <n v="186"/>
    <s v="JEAN RICHARDI DOS SANTOS "/>
    <x v="0"/>
    <n v="0"/>
    <x v="8"/>
    <x v="0"/>
    <x v="5"/>
    <n v="1"/>
    <m/>
    <m/>
    <m/>
    <m/>
    <m/>
    <x v="2"/>
    <x v="0"/>
  </r>
  <r>
    <n v="187"/>
    <s v="PAULO ROBERTO DE SOUZA MONTEIRO"/>
    <x v="0"/>
    <n v="0"/>
    <x v="4"/>
    <x v="0"/>
    <x v="18"/>
    <n v="1"/>
    <m/>
    <m/>
    <m/>
    <m/>
    <m/>
    <x v="2"/>
    <x v="0"/>
  </r>
  <r>
    <n v="188"/>
    <s v="JULIO CESAR DOS SANTOS DA ROSA"/>
    <x v="0"/>
    <n v="0"/>
    <x v="12"/>
    <x v="0"/>
    <x v="34"/>
    <m/>
    <n v="1"/>
    <m/>
    <m/>
    <m/>
    <m/>
    <x v="2"/>
    <x v="0"/>
  </r>
  <r>
    <n v="189"/>
    <s v=" EDINEI PEREIRA MEDINA"/>
    <x v="0"/>
    <n v="0"/>
    <x v="2"/>
    <x v="0"/>
    <x v="22"/>
    <m/>
    <n v="1"/>
    <m/>
    <m/>
    <m/>
    <m/>
    <x v="2"/>
    <x v="0"/>
  </r>
  <r>
    <n v="190"/>
    <s v="RONALDO VARGAS SOARES"/>
    <x v="0"/>
    <n v="0"/>
    <x v="8"/>
    <x v="0"/>
    <x v="15"/>
    <m/>
    <n v="1"/>
    <m/>
    <m/>
    <m/>
    <m/>
    <x v="2"/>
    <x v="0"/>
  </r>
  <r>
    <n v="191"/>
    <s v="ANDRÉ LUIS LOURENÇO MOREIRA"/>
    <x v="0"/>
    <n v="0"/>
    <x v="4"/>
    <x v="0"/>
    <x v="0"/>
    <m/>
    <n v="1"/>
    <m/>
    <m/>
    <m/>
    <m/>
    <x v="2"/>
    <x v="0"/>
  </r>
  <r>
    <n v="192"/>
    <s v="CARLOS ALBERTO DE OLIVEIRA CARDOSO"/>
    <x v="0"/>
    <n v="0"/>
    <x v="1"/>
    <x v="0"/>
    <x v="35"/>
    <m/>
    <m/>
    <n v="1"/>
    <m/>
    <m/>
    <m/>
    <x v="2"/>
    <x v="0"/>
  </r>
  <r>
    <n v="193"/>
    <s v="MÁRCIO HENRIQUE CHAVES PADILHA"/>
    <x v="0"/>
    <n v="0"/>
    <x v="12"/>
    <x v="0"/>
    <x v="4"/>
    <m/>
    <m/>
    <n v="1"/>
    <m/>
    <m/>
    <m/>
    <x v="2"/>
    <x v="0"/>
  </r>
  <r>
    <n v="194"/>
    <s v="LEANDRO LAUDENIR DUTRA"/>
    <x v="0"/>
    <n v="0"/>
    <x v="1"/>
    <x v="0"/>
    <x v="11"/>
    <m/>
    <m/>
    <m/>
    <m/>
    <n v="1"/>
    <m/>
    <x v="2"/>
    <x v="0"/>
  </r>
  <r>
    <n v="195"/>
    <s v="FABIANO ROSA OLIVEIRA "/>
    <x v="0"/>
    <n v="0"/>
    <x v="6"/>
    <x v="0"/>
    <x v="23"/>
    <n v="1"/>
    <m/>
    <m/>
    <m/>
    <m/>
    <m/>
    <x v="2"/>
    <x v="0"/>
  </r>
  <r>
    <n v="196"/>
    <s v="ALEXANDRE DAMASCO WICHINSKI MARIA"/>
    <x v="0"/>
    <n v="0"/>
    <x v="12"/>
    <x v="0"/>
    <x v="1"/>
    <n v="1"/>
    <m/>
    <m/>
    <m/>
    <m/>
    <m/>
    <x v="2"/>
    <x v="0"/>
  </r>
  <r>
    <n v="197"/>
    <s v="RODRIGO SANTOS DE BRITO"/>
    <x v="0"/>
    <n v="0"/>
    <x v="12"/>
    <x v="0"/>
    <x v="9"/>
    <n v="1"/>
    <m/>
    <m/>
    <m/>
    <m/>
    <m/>
    <x v="2"/>
    <x v="0"/>
  </r>
  <r>
    <n v="198"/>
    <s v="GELSON DOS SANTOS BICA"/>
    <x v="0"/>
    <n v="0"/>
    <x v="13"/>
    <x v="0"/>
    <x v="38"/>
    <n v="1"/>
    <m/>
    <m/>
    <m/>
    <m/>
    <m/>
    <x v="2"/>
    <x v="0"/>
  </r>
  <r>
    <n v="199"/>
    <s v="JEFERSON SILVINO OLIVEIRA DA SILVA"/>
    <x v="0"/>
    <n v="0"/>
    <x v="7"/>
    <x v="0"/>
    <x v="10"/>
    <m/>
    <n v="1"/>
    <m/>
    <m/>
    <m/>
    <m/>
    <x v="2"/>
    <x v="0"/>
  </r>
  <r>
    <n v="200"/>
    <s v="João Antonio da Silva"/>
    <x v="0"/>
    <n v="0"/>
    <x v="2"/>
    <x v="0"/>
    <x v="26"/>
    <m/>
    <m/>
    <n v="1"/>
    <m/>
    <m/>
    <m/>
    <x v="2"/>
    <x v="0"/>
  </r>
  <r>
    <n v="201"/>
    <s v="EZEQUIEL AMARAL DE OLIVEIRA"/>
    <x v="0"/>
    <n v="0"/>
    <x v="2"/>
    <x v="0"/>
    <x v="33"/>
    <n v="1"/>
    <m/>
    <m/>
    <m/>
    <m/>
    <m/>
    <x v="2"/>
    <x v="0"/>
  </r>
  <r>
    <n v="202"/>
    <s v="ERALDO ZEFERINO GOMES"/>
    <x v="1"/>
    <n v="0"/>
    <x v="6"/>
    <x v="0"/>
    <x v="45"/>
    <n v="1"/>
    <m/>
    <m/>
    <m/>
    <m/>
    <m/>
    <x v="2"/>
    <x v="0"/>
  </r>
  <r>
    <n v="203"/>
    <s v="MÁRCIO HENRIQUE CHAVES PADILHA"/>
    <x v="0"/>
    <n v="0"/>
    <x v="1"/>
    <x v="0"/>
    <x v="4"/>
    <m/>
    <m/>
    <m/>
    <n v="1"/>
    <m/>
    <m/>
    <x v="2"/>
    <x v="0"/>
  </r>
  <r>
    <n v="204"/>
    <s v="EDINEI PEREIRA MEDINA"/>
    <x v="0"/>
    <n v="0"/>
    <x v="1"/>
    <x v="0"/>
    <x v="22"/>
    <m/>
    <m/>
    <n v="1"/>
    <m/>
    <m/>
    <m/>
    <x v="2"/>
    <x v="0"/>
  </r>
  <r>
    <n v="205"/>
    <s v="ARIAN CONCEIÇÃO SOARES"/>
    <x v="1"/>
    <n v="0"/>
    <x v="3"/>
    <x v="0"/>
    <x v="27"/>
    <n v="1"/>
    <m/>
    <m/>
    <m/>
    <m/>
    <m/>
    <x v="2"/>
    <x v="0"/>
  </r>
  <r>
    <n v="206"/>
    <s v="Roberto Carlos de Vargas Souza"/>
    <x v="0"/>
    <n v="0"/>
    <x v="1"/>
    <x v="0"/>
    <x v="21"/>
    <m/>
    <n v="1"/>
    <m/>
    <m/>
    <m/>
    <m/>
    <x v="2"/>
    <x v="0"/>
  </r>
  <r>
    <n v="207"/>
    <s v="TIAGO ROBERTO OLIVEIRA CONCEIÇÃO"/>
    <x v="0"/>
    <n v="0"/>
    <x v="2"/>
    <x v="0"/>
    <x v="18"/>
    <m/>
    <m/>
    <m/>
    <n v="1"/>
    <m/>
    <m/>
    <x v="2"/>
    <x v="0"/>
  </r>
  <r>
    <n v="208"/>
    <s v="CHARLES SANTOS SOUZA"/>
    <x v="0"/>
    <n v="0"/>
    <x v="2"/>
    <x v="0"/>
    <x v="3"/>
    <m/>
    <n v="1"/>
    <m/>
    <m/>
    <m/>
    <m/>
    <x v="2"/>
    <x v="0"/>
  </r>
  <r>
    <n v="209"/>
    <s v="MARCELO GARCIA CARDOSO"/>
    <x v="0"/>
    <n v="0"/>
    <x v="2"/>
    <x v="0"/>
    <x v="4"/>
    <n v="1"/>
    <m/>
    <m/>
    <m/>
    <m/>
    <m/>
    <x v="2"/>
    <x v="0"/>
  </r>
  <r>
    <n v="210"/>
    <s v="MAX WILLIAN DA SILVA SOARES"/>
    <x v="0"/>
    <n v="0"/>
    <x v="12"/>
    <x v="0"/>
    <x v="39"/>
    <m/>
    <n v="1"/>
    <m/>
    <m/>
    <m/>
    <m/>
    <x v="2"/>
    <x v="0"/>
  </r>
  <r>
    <n v="211"/>
    <s v="CARLOS ALBERTO DE OLIVEIRA CONCEIÇÃO"/>
    <x v="0"/>
    <n v="0"/>
    <x v="1"/>
    <x v="0"/>
    <x v="44"/>
    <m/>
    <m/>
    <n v="1"/>
    <m/>
    <m/>
    <m/>
    <x v="2"/>
    <x v="0"/>
  </r>
  <r>
    <n v="212"/>
    <s v="RAFAEL CAMARGO GOTTEMS"/>
    <x v="0"/>
    <n v="0"/>
    <x v="12"/>
    <x v="0"/>
    <x v="21"/>
    <n v="1"/>
    <m/>
    <m/>
    <m/>
    <m/>
    <m/>
    <x v="2"/>
    <x v="0"/>
  </r>
  <r>
    <n v="213"/>
    <s v="RODRIGO SILVA DOS SANTOS"/>
    <x v="2"/>
    <m/>
    <x v="12"/>
    <x v="0"/>
    <x v="46"/>
    <n v="1"/>
    <m/>
    <m/>
    <m/>
    <m/>
    <m/>
    <x v="2"/>
    <x v="0"/>
  </r>
  <r>
    <n v="214"/>
    <s v="TIAGO FONTOURA MONTEZZANA"/>
    <x v="0"/>
    <n v="0"/>
    <x v="1"/>
    <x v="0"/>
    <x v="10"/>
    <n v="1"/>
    <m/>
    <m/>
    <m/>
    <m/>
    <m/>
    <x v="2"/>
    <x v="0"/>
  </r>
  <r>
    <n v="215"/>
    <s v="CLEO COSTA FIGUEIREDO"/>
    <x v="1"/>
    <n v="0"/>
    <x v="13"/>
    <x v="0"/>
    <x v="22"/>
    <n v="1"/>
    <m/>
    <m/>
    <m/>
    <m/>
    <m/>
    <x v="2"/>
    <x v="0"/>
  </r>
  <r>
    <n v="216"/>
    <s v="EVANIR MOISES LOPES CARDOSO"/>
    <x v="1"/>
    <n v="0"/>
    <x v="14"/>
    <x v="0"/>
    <x v="36"/>
    <n v="1"/>
    <m/>
    <m/>
    <m/>
    <m/>
    <m/>
    <x v="2"/>
    <x v="0"/>
  </r>
  <r>
    <n v="217"/>
    <s v="DIEGO FERNANDES DE OLIVEIRA"/>
    <x v="0"/>
    <n v="0"/>
    <x v="4"/>
    <x v="0"/>
    <x v="26"/>
    <n v="1"/>
    <m/>
    <m/>
    <m/>
    <m/>
    <m/>
    <x v="2"/>
    <x v="0"/>
  </r>
  <r>
    <n v="218"/>
    <s v="ANDERSON GUTIERRES CAVALHEIRO"/>
    <x v="0"/>
    <n v="0"/>
    <x v="2"/>
    <x v="0"/>
    <x v="42"/>
    <n v="1"/>
    <m/>
    <m/>
    <m/>
    <m/>
    <m/>
    <x v="2"/>
    <x v="0"/>
  </r>
  <r>
    <n v="219"/>
    <s v="JOILSON MIELCZARSLI"/>
    <x v="0"/>
    <n v="0"/>
    <x v="15"/>
    <x v="0"/>
    <x v="38"/>
    <n v="1"/>
    <m/>
    <m/>
    <m/>
    <m/>
    <m/>
    <x v="2"/>
    <x v="0"/>
  </r>
  <r>
    <n v="220"/>
    <s v="João Antonio da Silva"/>
    <x v="0"/>
    <n v="0"/>
    <x v="15"/>
    <x v="0"/>
    <x v="26"/>
    <m/>
    <m/>
    <m/>
    <n v="1"/>
    <m/>
    <m/>
    <x v="2"/>
    <x v="0"/>
  </r>
  <r>
    <n v="221"/>
    <s v="ALEXANDRO CORIN DA SILVA"/>
    <x v="0"/>
    <n v="0"/>
    <x v="2"/>
    <x v="0"/>
    <x v="1"/>
    <m/>
    <n v="1"/>
    <m/>
    <m/>
    <m/>
    <m/>
    <x v="2"/>
    <x v="0"/>
  </r>
  <r>
    <n v="222"/>
    <s v="PAULO ROGERIO DOS SANTOS "/>
    <x v="0"/>
    <n v="0"/>
    <x v="2"/>
    <x v="0"/>
    <x v="37"/>
    <n v="1"/>
    <m/>
    <m/>
    <m/>
    <m/>
    <m/>
    <x v="2"/>
    <x v="0"/>
  </r>
  <r>
    <n v="223"/>
    <s v="EDINEI PEREIRA MEDINA"/>
    <x v="0"/>
    <n v="0"/>
    <x v="2"/>
    <x v="0"/>
    <x v="22"/>
    <m/>
    <m/>
    <m/>
    <n v="1"/>
    <m/>
    <m/>
    <x v="2"/>
    <x v="0"/>
  </r>
  <r>
    <n v="224"/>
    <s v="CARLOS EDUARDO MORAES PEREIRA "/>
    <x v="0"/>
    <n v="0"/>
    <x v="2"/>
    <x v="0"/>
    <x v="2"/>
    <n v="1"/>
    <m/>
    <m/>
    <m/>
    <m/>
    <m/>
    <x v="2"/>
    <x v="0"/>
  </r>
  <r>
    <n v="225"/>
    <s v="CARLOS ROGÉRIO DE VARGAS ANSOLIN"/>
    <x v="0"/>
    <n v="0"/>
    <x v="2"/>
    <x v="0"/>
    <x v="33"/>
    <m/>
    <n v="1"/>
    <m/>
    <m/>
    <m/>
    <m/>
    <x v="2"/>
    <x v="0"/>
  </r>
  <r>
    <n v="226"/>
    <s v="CARLOS ROBERTO DORNELES DE LIMA"/>
    <x v="0"/>
    <n v="1"/>
    <x v="2"/>
    <x v="0"/>
    <x v="10"/>
    <n v="1"/>
    <m/>
    <m/>
    <m/>
    <m/>
    <m/>
    <x v="2"/>
    <x v="0"/>
  </r>
  <r>
    <n v="227"/>
    <s v="ALTAIR MOREIRA DE MOREIRA"/>
    <x v="1"/>
    <n v="0"/>
    <x v="4"/>
    <x v="0"/>
    <x v="15"/>
    <n v="1"/>
    <m/>
    <m/>
    <m/>
    <m/>
    <m/>
    <x v="2"/>
    <x v="0"/>
  </r>
  <r>
    <n v="228"/>
    <s v="VALMIR MACEDO SAMPAIO"/>
    <x v="0"/>
    <n v="0"/>
    <x v="2"/>
    <x v="0"/>
    <x v="1"/>
    <n v="1"/>
    <m/>
    <m/>
    <m/>
    <m/>
    <m/>
    <x v="2"/>
    <x v="0"/>
  </r>
  <r>
    <n v="229"/>
    <s v="JOILSON MIELCZARSLI"/>
    <x v="0"/>
    <n v="0"/>
    <x v="15"/>
    <x v="0"/>
    <x v="38"/>
    <m/>
    <n v="1"/>
    <m/>
    <m/>
    <m/>
    <m/>
    <x v="2"/>
    <x v="0"/>
  </r>
  <r>
    <n v="230"/>
    <s v="MARCELO GARCIA CARDOSO"/>
    <x v="0"/>
    <n v="0"/>
    <x v="4"/>
    <x v="0"/>
    <x v="4"/>
    <m/>
    <n v="1"/>
    <m/>
    <m/>
    <m/>
    <m/>
    <x v="2"/>
    <x v="0"/>
  </r>
  <r>
    <n v="231"/>
    <s v="PAULO CESAR DE ALEMIDA"/>
    <x v="0"/>
    <n v="0"/>
    <x v="16"/>
    <x v="0"/>
    <x v="1"/>
    <n v="1"/>
    <m/>
    <m/>
    <m/>
    <m/>
    <m/>
    <x v="2"/>
    <x v="0"/>
  </r>
  <r>
    <n v="232"/>
    <s v="DOUGLAS MORAES MENDES "/>
    <x v="0"/>
    <n v="0"/>
    <x v="2"/>
    <x v="0"/>
    <x v="9"/>
    <m/>
    <n v="1"/>
    <m/>
    <m/>
    <m/>
    <m/>
    <x v="2"/>
    <x v="0"/>
  </r>
  <r>
    <n v="233"/>
    <s v="FABRICIO BAIMA PEREIRA "/>
    <x v="0"/>
    <n v="0"/>
    <x v="2"/>
    <x v="0"/>
    <x v="3"/>
    <m/>
    <n v="1"/>
    <m/>
    <m/>
    <m/>
    <m/>
    <x v="3"/>
    <x v="0"/>
  </r>
  <r>
    <n v="234"/>
    <s v="DIEGO AVILA ARAUJO"/>
    <x v="0"/>
    <n v="0"/>
    <x v="2"/>
    <x v="0"/>
    <x v="7"/>
    <n v="1"/>
    <m/>
    <m/>
    <m/>
    <m/>
    <m/>
    <x v="3"/>
    <x v="0"/>
  </r>
  <r>
    <n v="235"/>
    <s v="ANACLETO BACHIO"/>
    <x v="0"/>
    <n v="0"/>
    <x v="2"/>
    <x v="0"/>
    <x v="11"/>
    <n v="1"/>
    <m/>
    <m/>
    <m/>
    <m/>
    <m/>
    <x v="3"/>
    <x v="0"/>
  </r>
  <r>
    <n v="236"/>
    <s v="CLEBER IGNÁCIO DA SILVEIRA"/>
    <x v="0"/>
    <n v="0"/>
    <x v="2"/>
    <x v="0"/>
    <x v="11"/>
    <n v="1"/>
    <m/>
    <m/>
    <m/>
    <m/>
    <m/>
    <x v="3"/>
    <x v="0"/>
  </r>
  <r>
    <n v="239"/>
    <s v="JADERSON CARDOSO DOS SANTOS"/>
    <x v="0"/>
    <n v="0"/>
    <x v="1"/>
    <x v="0"/>
    <x v="1"/>
    <n v="1"/>
    <m/>
    <m/>
    <m/>
    <m/>
    <m/>
    <x v="3"/>
    <x v="0"/>
  </r>
  <r>
    <n v="240"/>
    <s v="HILTON DOS SANTOS CUNHA "/>
    <x v="0"/>
    <n v="0"/>
    <x v="2"/>
    <x v="0"/>
    <x v="36"/>
    <m/>
    <n v="1"/>
    <m/>
    <m/>
    <m/>
    <m/>
    <x v="4"/>
    <x v="0"/>
  </r>
  <r>
    <n v="241"/>
    <s v="DANIEL DIAS VAZ"/>
    <x v="0"/>
    <n v="0"/>
    <x v="2"/>
    <x v="0"/>
    <x v="1"/>
    <m/>
    <m/>
    <n v="1"/>
    <m/>
    <m/>
    <m/>
    <x v="4"/>
    <x v="0"/>
  </r>
  <r>
    <n v="242"/>
    <s v="ALEXANDRE CONCEIÇÃO DA SILVA"/>
    <x v="0"/>
    <n v="0"/>
    <x v="1"/>
    <x v="0"/>
    <x v="16"/>
    <n v="1"/>
    <m/>
    <m/>
    <m/>
    <m/>
    <m/>
    <x v="4"/>
    <x v="0"/>
  </r>
  <r>
    <n v="243"/>
    <s v="DIEGO DE AZEVEDO PAES"/>
    <x v="0"/>
    <n v="0"/>
    <x v="2"/>
    <x v="0"/>
    <x v="21"/>
    <m/>
    <m/>
    <n v="1"/>
    <m/>
    <m/>
    <m/>
    <x v="4"/>
    <x v="0"/>
  </r>
  <r>
    <n v="244"/>
    <s v="SALATIÉL ALONSO FRAGOSO"/>
    <x v="0"/>
    <n v="0"/>
    <x v="2"/>
    <x v="0"/>
    <x v="2"/>
    <m/>
    <n v="1"/>
    <m/>
    <m/>
    <m/>
    <m/>
    <x v="4"/>
    <x v="0"/>
  </r>
  <r>
    <n v="245"/>
    <s v="MARCELO GOMES DO NASCIMENTO"/>
    <x v="0"/>
    <n v="0"/>
    <x v="16"/>
    <x v="0"/>
    <x v="3"/>
    <n v="1"/>
    <m/>
    <m/>
    <m/>
    <m/>
    <m/>
    <x v="4"/>
    <x v="0"/>
  </r>
  <r>
    <n v="246"/>
    <s v="LUIS CESAR DA SILVEIRA  NORONHA"/>
    <x v="0"/>
    <n v="0"/>
    <x v="2"/>
    <x v="0"/>
    <x v="19"/>
    <m/>
    <n v="1"/>
    <m/>
    <m/>
    <m/>
    <m/>
    <x v="4"/>
    <x v="0"/>
  </r>
  <r>
    <n v="247"/>
    <s v="TIAGO ROBERTO OLIVEIRA CONCEIÇÃO"/>
    <x v="0"/>
    <n v="0"/>
    <x v="2"/>
    <x v="0"/>
    <x v="18"/>
    <m/>
    <m/>
    <m/>
    <m/>
    <n v="1"/>
    <m/>
    <x v="4"/>
    <x v="0"/>
  </r>
  <r>
    <n v="248"/>
    <s v="TIAGO ROBERTO OLIVEIRA CONCEIÇÃO"/>
    <x v="0"/>
    <n v="0"/>
    <x v="2"/>
    <x v="0"/>
    <x v="18"/>
    <m/>
    <m/>
    <m/>
    <m/>
    <m/>
    <n v="1"/>
    <x v="4"/>
    <x v="0"/>
  </r>
  <r>
    <n v="249"/>
    <s v="TIAGO DE OLIVEIRA SILVA"/>
    <x v="0"/>
    <n v="0"/>
    <x v="2"/>
    <x v="0"/>
    <x v="38"/>
    <n v="1"/>
    <m/>
    <m/>
    <m/>
    <m/>
    <m/>
    <x v="4"/>
    <x v="0"/>
  </r>
  <r>
    <n v="250"/>
    <s v="CARLOS HENRIQUE DA ROSA MARTINS"/>
    <x v="0"/>
    <n v="0"/>
    <x v="6"/>
    <x v="0"/>
    <x v="5"/>
    <n v="1"/>
    <m/>
    <m/>
    <m/>
    <m/>
    <m/>
    <x v="4"/>
    <x v="0"/>
  </r>
  <r>
    <n v="251"/>
    <s v="FABRICIO BAIMA PEREIRA "/>
    <x v="0"/>
    <n v="0"/>
    <x v="2"/>
    <x v="0"/>
    <x v="3"/>
    <m/>
    <m/>
    <n v="1"/>
    <m/>
    <m/>
    <m/>
    <x v="4"/>
    <x v="0"/>
  </r>
  <r>
    <n v="251"/>
    <s v="VALMIR REZERES CAMARGO"/>
    <x v="0"/>
    <n v="0"/>
    <x v="1"/>
    <x v="0"/>
    <x v="7"/>
    <m/>
    <n v="1"/>
    <m/>
    <m/>
    <m/>
    <m/>
    <x v="4"/>
    <x v="0"/>
  </r>
  <r>
    <n v="252"/>
    <s v="RENATO DA SILVA ARAÚJO"/>
    <x v="0"/>
    <n v="1"/>
    <x v="1"/>
    <x v="0"/>
    <x v="15"/>
    <m/>
    <n v="1"/>
    <m/>
    <m/>
    <m/>
    <m/>
    <x v="4"/>
    <x v="0"/>
  </r>
  <r>
    <n v="252"/>
    <s v="NATANAELI MIKAELA GUIMARÃES ASSUNÇÃO"/>
    <x v="1"/>
    <n v="0"/>
    <x v="1"/>
    <x v="1"/>
    <x v="47"/>
    <n v="1"/>
    <m/>
    <m/>
    <m/>
    <m/>
    <m/>
    <x v="4"/>
    <x v="0"/>
  </r>
  <r>
    <n v="253"/>
    <s v="ALLEFER FRONTEIRA CARDOSO"/>
    <x v="1"/>
    <n v="0"/>
    <x v="7"/>
    <x v="0"/>
    <x v="46"/>
    <n v="1"/>
    <n v="0"/>
    <n v="0"/>
    <n v="0"/>
    <n v="0"/>
    <n v="0"/>
    <x v="5"/>
    <x v="0"/>
  </r>
  <r>
    <n v="254"/>
    <s v="PAULO GUTERRES DOS SANTOS "/>
    <x v="0"/>
    <n v="0"/>
    <x v="17"/>
    <x v="0"/>
    <x v="24"/>
    <n v="1"/>
    <n v="0"/>
    <n v="0"/>
    <n v="0"/>
    <n v="0"/>
    <n v="0"/>
    <x v="5"/>
    <x v="0"/>
  </r>
  <r>
    <n v="255"/>
    <s v="JORGE PEREIRA DOS SANTOS "/>
    <x v="0"/>
    <n v="0"/>
    <x v="2"/>
    <x v="0"/>
    <x v="48"/>
    <n v="1"/>
    <n v="0"/>
    <n v="0"/>
    <n v="0"/>
    <n v="0"/>
    <n v="0"/>
    <x v="5"/>
    <x v="0"/>
  </r>
  <r>
    <n v="256"/>
    <s v="FABIANO MARTINS FREITAS"/>
    <x v="1"/>
    <n v="0"/>
    <x v="4"/>
    <x v="0"/>
    <x v="22"/>
    <n v="1"/>
    <n v="0"/>
    <n v="0"/>
    <n v="0"/>
    <n v="0"/>
    <n v="0"/>
    <x v="5"/>
    <x v="0"/>
  </r>
  <r>
    <n v="257"/>
    <s v="LUIS CESAR DA SILVEIRA NORONHA"/>
    <x v="0"/>
    <n v="0"/>
    <x v="4"/>
    <x v="0"/>
    <x v="19"/>
    <m/>
    <m/>
    <n v="1"/>
    <m/>
    <m/>
    <m/>
    <x v="5"/>
    <x v="0"/>
  </r>
  <r>
    <n v="258"/>
    <s v="LUCAS MATOSO DOS SANTOS"/>
    <x v="1"/>
    <n v="0"/>
    <x v="1"/>
    <x v="0"/>
    <x v="46"/>
    <n v="1"/>
    <m/>
    <m/>
    <m/>
    <m/>
    <m/>
    <x v="5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3000000}" name="tdAutuPorBairro" cacheId="15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B162:C181" firstHeaderRow="1" firstDataRow="1" firstDataCol="1"/>
  <pivotFields count="16">
    <pivotField showAll="0"/>
    <pivotField showAll="0"/>
    <pivotField showAll="0"/>
    <pivotField showAll="0"/>
    <pivotField axis="axisRow" showAll="0">
      <items count="19">
        <item x="11"/>
        <item x="3"/>
        <item x="2"/>
        <item x="6"/>
        <item x="4"/>
        <item x="5"/>
        <item x="7"/>
        <item x="12"/>
        <item x="13"/>
        <item x="1"/>
        <item x="0"/>
        <item x="8"/>
        <item x="9"/>
        <item x="10"/>
        <item x="14"/>
        <item x="15"/>
        <item x="16"/>
        <item x="17"/>
        <item t="default"/>
      </items>
    </pivotField>
    <pivotField showAll="0"/>
    <pivotField showAll="0">
      <items count="50">
        <item x="46"/>
        <item x="27"/>
        <item x="41"/>
        <item x="14"/>
        <item x="13"/>
        <item x="5"/>
        <item x="12"/>
        <item x="39"/>
        <item x="6"/>
        <item x="40"/>
        <item x="26"/>
        <item x="42"/>
        <item x="20"/>
        <item x="21"/>
        <item x="29"/>
        <item x="18"/>
        <item x="23"/>
        <item x="7"/>
        <item x="9"/>
        <item x="38"/>
        <item x="34"/>
        <item x="10"/>
        <item x="2"/>
        <item x="11"/>
        <item x="1"/>
        <item x="22"/>
        <item x="3"/>
        <item x="4"/>
        <item x="16"/>
        <item x="0"/>
        <item x="33"/>
        <item x="28"/>
        <item x="15"/>
        <item x="35"/>
        <item x="37"/>
        <item x="17"/>
        <item x="30"/>
        <item x="32"/>
        <item x="8"/>
        <item x="19"/>
        <item x="31"/>
        <item x="36"/>
        <item x="44"/>
        <item x="24"/>
        <item x="43"/>
        <item x="25"/>
        <item x="45"/>
        <item x="47"/>
        <item x="48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 defaultSubtotal="0">
      <items count="9">
        <item x="0"/>
        <item x="1"/>
        <item x="2"/>
        <item x="3"/>
        <item x="4"/>
        <item x="5"/>
        <item x="6"/>
        <item x="7"/>
        <item x="8"/>
      </items>
    </pivotField>
  </pivotFields>
  <rowFields count="1">
    <field x="4"/>
  </rowFields>
  <rowItems count="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Items count="1">
    <i/>
  </colItems>
  <dataFields count="1">
    <dataField name="Contagem de 1º PROCESSO SEI GERADO" fld="7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2000000}" name="Tabela dinâmica3" cacheId="15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5">
  <location ref="B199:C206" firstHeaderRow="1" firstDataRow="1" firstDataCol="1"/>
  <pivotFields count="16">
    <pivotField showAll="0"/>
    <pivotField showAll="0"/>
    <pivotField showAll="0"/>
    <pivotField showAll="0"/>
    <pivotField showAll="0"/>
    <pivotField showAll="0"/>
    <pivotField axis="axisRow" showAll="0">
      <items count="50">
        <item h="1" x="46"/>
        <item x="27"/>
        <item x="41"/>
        <item x="14"/>
        <item x="13"/>
        <item x="5"/>
        <item x="12"/>
        <item x="39"/>
        <item x="6"/>
        <item x="40"/>
        <item x="26"/>
        <item x="42"/>
        <item x="20"/>
        <item x="21"/>
        <item x="29"/>
        <item x="18"/>
        <item x="23"/>
        <item x="7"/>
        <item x="9"/>
        <item x="38"/>
        <item x="34"/>
        <item x="10"/>
        <item x="2"/>
        <item x="11"/>
        <item x="1"/>
        <item x="22"/>
        <item x="3"/>
        <item x="4"/>
        <item x="16"/>
        <item x="0"/>
        <item x="33"/>
        <item x="28"/>
        <item x="15"/>
        <item x="35"/>
        <item x="37"/>
        <item x="17"/>
        <item x="30"/>
        <item x="32"/>
        <item x="8"/>
        <item x="19"/>
        <item x="31"/>
        <item x="36"/>
        <item x="44"/>
        <item x="24"/>
        <item x="43"/>
        <item x="25"/>
        <item x="45"/>
        <item h="1" x="47"/>
        <item h="1" x="48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name="IDADE2" axis="axisRow" showAll="0" sortType="ascending" defaultSubtotal="0">
      <items count="9">
        <item h="1" x="0"/>
        <item n="16-25" sd="0" x="1"/>
        <item n="26-36" sd="0" x="2"/>
        <item n="37-47" sd="0" x="3"/>
        <item n="48-58" sd="0" x="4"/>
        <item n="58-68" sd="0" x="5"/>
        <item n="69-79" sd="0" x="6"/>
        <item h="1" x="7"/>
        <item h="1" x="8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2">
    <field x="15"/>
    <field x="6"/>
  </rowFields>
  <rowItems count="7">
    <i>
      <x v="6"/>
    </i>
    <i>
      <x v="5"/>
    </i>
    <i>
      <x v="1"/>
    </i>
    <i>
      <x v="4"/>
    </i>
    <i>
      <x v="2"/>
    </i>
    <i>
      <x v="3"/>
    </i>
    <i t="grand">
      <x/>
    </i>
  </rowItems>
  <colItems count="1">
    <i/>
  </colItems>
  <dataFields count="1">
    <dataField name="Contagem de 1º PROCESSO SEI GERADO" fld="7" subtotal="count" baseField="0" baseItem="0"/>
  </dataFields>
  <chartFormats count="3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A000000}" name="tdTot5ºSei" cacheId="15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5">
  <location ref="B36:C43" firstHeaderRow="1" firstDataRow="1" firstDataCol="1"/>
  <pivotFields count="16">
    <pivotField showAll="0"/>
    <pivotField showAll="0"/>
    <pivotField showAll="0"/>
    <pivotField showAll="0"/>
    <pivotField showAll="0"/>
    <pivotField showAll="0"/>
    <pivotField showAll="0">
      <items count="50">
        <item x="46"/>
        <item x="27"/>
        <item x="41"/>
        <item x="14"/>
        <item x="13"/>
        <item x="5"/>
        <item x="12"/>
        <item x="39"/>
        <item x="6"/>
        <item x="40"/>
        <item x="26"/>
        <item x="42"/>
        <item x="20"/>
        <item x="21"/>
        <item x="29"/>
        <item x="18"/>
        <item x="23"/>
        <item x="7"/>
        <item x="9"/>
        <item x="38"/>
        <item x="34"/>
        <item x="10"/>
        <item x="2"/>
        <item x="11"/>
        <item x="1"/>
        <item x="22"/>
        <item x="3"/>
        <item x="4"/>
        <item x="16"/>
        <item x="0"/>
        <item x="33"/>
        <item x="28"/>
        <item x="15"/>
        <item x="35"/>
        <item x="37"/>
        <item x="17"/>
        <item x="30"/>
        <item x="32"/>
        <item x="8"/>
        <item x="19"/>
        <item x="31"/>
        <item x="36"/>
        <item x="44"/>
        <item x="24"/>
        <item x="43"/>
        <item x="25"/>
        <item x="45"/>
        <item x="47"/>
        <item x="48"/>
        <item t="default"/>
      </items>
    </pivotField>
    <pivotField showAll="0"/>
    <pivotField showAll="0"/>
    <pivotField showAll="0"/>
    <pivotField showAll="0"/>
    <pivotField dataField="1" showAll="0"/>
    <pivotField showAll="0"/>
    <pivotField axis="axisRow" showAll="0" sortType="ascending">
      <items count="7">
        <item x="2"/>
        <item x="1"/>
        <item x="0"/>
        <item x="3"/>
        <item x="4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 defaultSubtotal="0">
      <items count="9">
        <item x="0"/>
        <item x="1"/>
        <item x="2"/>
        <item x="3"/>
        <item x="4"/>
        <item x="5"/>
        <item x="6"/>
        <item x="7"/>
        <item x="8"/>
      </items>
    </pivotField>
  </pivotFields>
  <rowFields count="1">
    <field x="13"/>
  </rowFields>
  <rowItems count="7">
    <i>
      <x v="2"/>
    </i>
    <i>
      <x v="3"/>
    </i>
    <i>
      <x v="1"/>
    </i>
    <i>
      <x v="5"/>
    </i>
    <i>
      <x v="4"/>
    </i>
    <i>
      <x/>
    </i>
    <i t="grand">
      <x/>
    </i>
  </rowItems>
  <colItems count="1">
    <i/>
  </colItems>
  <dataFields count="1">
    <dataField name="TOTAL 5º SEI" fld="11" baseField="12" baseItem="0"/>
  </dataFields>
  <chartFormats count="1">
    <chartFormat chart="4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C000000}" name="tdTotFaixaEtária" cacheId="15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2">
  <location ref="B80:D97" firstHeaderRow="1" firstDataRow="1" firstDataCol="0"/>
  <pivotFields count="16">
    <pivotField showAll="0"/>
    <pivotField showAll="0"/>
    <pivotField showAll="0"/>
    <pivotField showAll="0"/>
    <pivotField showAll="0"/>
    <pivotField showAll="0"/>
    <pivotField showAll="0" sortType="ascending">
      <items count="50">
        <item h="1" x="46"/>
        <item x="27"/>
        <item x="41"/>
        <item x="14"/>
        <item x="13"/>
        <item x="5"/>
        <item h="1" x="47"/>
        <item x="12"/>
        <item x="39"/>
        <item x="6"/>
        <item x="40"/>
        <item x="26"/>
        <item x="42"/>
        <item x="20"/>
        <item x="21"/>
        <item x="29"/>
        <item x="18"/>
        <item x="23"/>
        <item x="7"/>
        <item x="9"/>
        <item x="38"/>
        <item x="34"/>
        <item x="10"/>
        <item x="2"/>
        <item x="11"/>
        <item x="1"/>
        <item x="22"/>
        <item x="3"/>
        <item x="4"/>
        <item x="16"/>
        <item x="0"/>
        <item x="33"/>
        <item x="28"/>
        <item x="15"/>
        <item x="35"/>
        <item x="37"/>
        <item x="17"/>
        <item x="30"/>
        <item x="32"/>
        <item x="8"/>
        <item x="19"/>
        <item x="31"/>
        <item x="36"/>
        <item h="1" x="48"/>
        <item x="44"/>
        <item x="24"/>
        <item x="43"/>
        <item x="25"/>
        <item x="4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>
      <items count="9">
        <item h="1" x="0"/>
        <item sd="0" x="1"/>
        <item sd="0" x="2"/>
        <item sd="0" x="3"/>
        <item sd="0" x="4"/>
        <item sd="0" x="5"/>
        <item sd="0" x="6"/>
        <item h="1" x="7"/>
        <item h="1" x="8"/>
      </items>
    </pivotField>
  </pivot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9000000}" name="tdTot4ºSei" cacheId="15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7">
  <location ref="F27:G34" firstHeaderRow="1" firstDataRow="1" firstDataCol="1"/>
  <pivotFields count="16">
    <pivotField showAll="0"/>
    <pivotField showAll="0"/>
    <pivotField showAll="0"/>
    <pivotField showAll="0"/>
    <pivotField showAll="0"/>
    <pivotField showAll="0"/>
    <pivotField showAll="0">
      <items count="50">
        <item x="46"/>
        <item x="27"/>
        <item x="41"/>
        <item x="14"/>
        <item x="13"/>
        <item x="5"/>
        <item x="12"/>
        <item x="39"/>
        <item x="6"/>
        <item x="40"/>
        <item x="26"/>
        <item x="42"/>
        <item x="20"/>
        <item x="21"/>
        <item x="29"/>
        <item x="18"/>
        <item x="23"/>
        <item x="7"/>
        <item x="9"/>
        <item x="38"/>
        <item x="34"/>
        <item x="10"/>
        <item x="2"/>
        <item x="11"/>
        <item x="1"/>
        <item x="22"/>
        <item x="3"/>
        <item x="4"/>
        <item x="16"/>
        <item x="0"/>
        <item x="33"/>
        <item x="28"/>
        <item x="15"/>
        <item x="35"/>
        <item x="37"/>
        <item x="17"/>
        <item x="30"/>
        <item x="32"/>
        <item x="8"/>
        <item x="19"/>
        <item x="31"/>
        <item x="36"/>
        <item x="44"/>
        <item x="24"/>
        <item x="43"/>
        <item x="25"/>
        <item x="45"/>
        <item x="47"/>
        <item x="48"/>
        <item t="default"/>
      </items>
    </pivotField>
    <pivotField showAll="0"/>
    <pivotField showAll="0"/>
    <pivotField showAll="0"/>
    <pivotField dataField="1" showAll="0"/>
    <pivotField showAll="0"/>
    <pivotField showAll="0"/>
    <pivotField axis="axisRow" showAll="0" sortType="ascending">
      <items count="7">
        <item x="2"/>
        <item x="1"/>
        <item x="0"/>
        <item x="3"/>
        <item x="4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 defaultSubtotal="0">
      <items count="9">
        <item x="0"/>
        <item x="1"/>
        <item x="2"/>
        <item x="3"/>
        <item x="4"/>
        <item x="5"/>
        <item x="6"/>
        <item x="7"/>
        <item x="8"/>
      </items>
    </pivotField>
  </pivotFields>
  <rowFields count="1">
    <field x="13"/>
  </rowFields>
  <rowItems count="7">
    <i>
      <x v="2"/>
    </i>
    <i>
      <x v="3"/>
    </i>
    <i>
      <x v="5"/>
    </i>
    <i>
      <x v="4"/>
    </i>
    <i>
      <x v="1"/>
    </i>
    <i>
      <x/>
    </i>
    <i t="grand">
      <x/>
    </i>
  </rowItems>
  <colItems count="1">
    <i/>
  </colItems>
  <dataFields count="1">
    <dataField name="TOTAL 4º SEI" fld="10" baseField="12" baseItem="0"/>
  </dataFields>
  <chartFormats count="3">
    <chartFormat chart="6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4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  <chartFormat chart="6" format="5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8000000}" name="tdTot3ºSei" cacheId="15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5">
  <location ref="B27:C34" firstHeaderRow="1" firstDataRow="1" firstDataCol="1"/>
  <pivotFields count="16">
    <pivotField showAll="0"/>
    <pivotField showAll="0"/>
    <pivotField showAll="0"/>
    <pivotField showAll="0"/>
    <pivotField showAll="0"/>
    <pivotField showAll="0"/>
    <pivotField showAll="0">
      <items count="50">
        <item x="46"/>
        <item x="27"/>
        <item x="41"/>
        <item x="14"/>
        <item x="13"/>
        <item x="5"/>
        <item x="12"/>
        <item x="39"/>
        <item x="6"/>
        <item x="40"/>
        <item x="26"/>
        <item x="42"/>
        <item x="20"/>
        <item x="21"/>
        <item x="29"/>
        <item x="18"/>
        <item x="23"/>
        <item x="7"/>
        <item x="9"/>
        <item x="38"/>
        <item x="34"/>
        <item x="10"/>
        <item x="2"/>
        <item x="11"/>
        <item x="1"/>
        <item x="22"/>
        <item x="3"/>
        <item x="4"/>
        <item x="16"/>
        <item x="0"/>
        <item x="33"/>
        <item x="28"/>
        <item x="15"/>
        <item x="35"/>
        <item x="37"/>
        <item x="17"/>
        <item x="30"/>
        <item x="32"/>
        <item x="8"/>
        <item x="19"/>
        <item x="31"/>
        <item x="36"/>
        <item x="44"/>
        <item x="24"/>
        <item x="43"/>
        <item x="25"/>
        <item x="45"/>
        <item x="47"/>
        <item x="48"/>
        <item t="default"/>
      </items>
    </pivotField>
    <pivotField showAll="0"/>
    <pivotField showAll="0"/>
    <pivotField dataField="1" showAll="0"/>
    <pivotField showAll="0"/>
    <pivotField showAll="0"/>
    <pivotField showAll="0"/>
    <pivotField axis="axisRow" showAll="0" sortType="ascending">
      <items count="7">
        <item x="2"/>
        <item x="1"/>
        <item x="0"/>
        <item x="3"/>
        <item x="4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 defaultSubtotal="0">
      <items count="9">
        <item x="0"/>
        <item x="1"/>
        <item x="2"/>
        <item x="3"/>
        <item x="4"/>
        <item x="5"/>
        <item x="6"/>
        <item x="7"/>
        <item x="8"/>
      </items>
    </pivotField>
  </pivotFields>
  <rowFields count="1">
    <field x="13"/>
  </rowFields>
  <rowItems count="7">
    <i>
      <x v="2"/>
    </i>
    <i>
      <x v="3"/>
    </i>
    <i>
      <x v="5"/>
    </i>
    <i>
      <x v="4"/>
    </i>
    <i>
      <x/>
    </i>
    <i>
      <x v="1"/>
    </i>
    <i t="grand">
      <x/>
    </i>
  </rowItems>
  <colItems count="1">
    <i/>
  </colItems>
  <dataFields count="1">
    <dataField name="TOTAL 3º SEI" fld="9" baseField="12" baseItem="0"/>
  </dataFields>
  <chartFormats count="1">
    <chartFormat chart="4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E000000}" name="tdTotSexo" cacheId="15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9">
  <location ref="B69:C72" firstHeaderRow="1" firstDataRow="1" firstDataCol="1"/>
  <pivotFields count="16">
    <pivotField showAll="0"/>
    <pivotField showAll="0"/>
    <pivotField showAll="0"/>
    <pivotField showAll="0"/>
    <pivotField showAll="0"/>
    <pivotField axis="axisRow" showAll="0">
      <items count="3">
        <item x="1"/>
        <item x="0"/>
        <item t="default"/>
      </items>
    </pivotField>
    <pivotField showAll="0">
      <items count="50">
        <item x="46"/>
        <item x="27"/>
        <item x="41"/>
        <item x="14"/>
        <item x="13"/>
        <item x="5"/>
        <item x="12"/>
        <item x="39"/>
        <item x="6"/>
        <item x="40"/>
        <item x="26"/>
        <item x="42"/>
        <item x="20"/>
        <item x="21"/>
        <item x="29"/>
        <item x="18"/>
        <item x="23"/>
        <item x="7"/>
        <item x="9"/>
        <item x="38"/>
        <item x="34"/>
        <item x="10"/>
        <item x="2"/>
        <item x="11"/>
        <item x="1"/>
        <item x="22"/>
        <item x="3"/>
        <item x="4"/>
        <item x="16"/>
        <item x="0"/>
        <item x="33"/>
        <item x="28"/>
        <item x="15"/>
        <item x="35"/>
        <item x="37"/>
        <item x="17"/>
        <item x="30"/>
        <item x="32"/>
        <item x="8"/>
        <item x="19"/>
        <item x="31"/>
        <item x="36"/>
        <item x="44"/>
        <item x="24"/>
        <item x="43"/>
        <item x="25"/>
        <item x="45"/>
        <item x="47"/>
        <item x="48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 defaultSubtotal="0">
      <items count="9">
        <item x="0"/>
        <item x="1"/>
        <item x="2"/>
        <item x="3"/>
        <item x="4"/>
        <item x="5"/>
        <item x="6"/>
        <item x="7"/>
        <item x="8"/>
      </items>
    </pivotField>
  </pivotFields>
  <rowFields count="1">
    <field x="5"/>
  </rowFields>
  <rowItems count="3">
    <i>
      <x/>
    </i>
    <i>
      <x v="1"/>
    </i>
    <i t="grand">
      <x/>
    </i>
  </rowItems>
  <colItems count="1">
    <i/>
  </colItems>
  <dataFields count="1">
    <dataField name="TOTAL SEXO" fld="7" baseField="5" baseItem="0"/>
  </dataFields>
  <chartFormats count="12">
    <chartFormat chart="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5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3" format="6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2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7" format="3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8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15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8" format="16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4000000}" name="tdindivAutuados" cacheId="15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6">
  <location ref="B18:C25" firstHeaderRow="1" firstDataRow="1" firstDataCol="1"/>
  <pivotFields count="16">
    <pivotField showAll="0"/>
    <pivotField showAll="0"/>
    <pivotField showAll="0"/>
    <pivotField showAll="0"/>
    <pivotField showAll="0"/>
    <pivotField showAll="0"/>
    <pivotField showAll="0">
      <items count="50">
        <item x="46"/>
        <item x="27"/>
        <item x="41"/>
        <item x="14"/>
        <item x="13"/>
        <item x="5"/>
        <item x="12"/>
        <item x="39"/>
        <item x="6"/>
        <item x="40"/>
        <item x="26"/>
        <item x="42"/>
        <item x="20"/>
        <item x="21"/>
        <item x="29"/>
        <item x="18"/>
        <item x="23"/>
        <item x="7"/>
        <item x="9"/>
        <item x="38"/>
        <item x="34"/>
        <item x="10"/>
        <item x="2"/>
        <item x="11"/>
        <item x="1"/>
        <item x="22"/>
        <item x="3"/>
        <item x="4"/>
        <item x="16"/>
        <item x="0"/>
        <item x="33"/>
        <item x="28"/>
        <item x="15"/>
        <item x="35"/>
        <item x="37"/>
        <item x="17"/>
        <item x="30"/>
        <item x="32"/>
        <item x="8"/>
        <item x="19"/>
        <item x="31"/>
        <item x="36"/>
        <item x="44"/>
        <item x="24"/>
        <item x="43"/>
        <item x="25"/>
        <item x="45"/>
        <item x="47"/>
        <item x="48"/>
        <item t="default"/>
      </items>
    </pivotField>
    <pivotField dataField="1" showAll="0"/>
    <pivotField showAll="0"/>
    <pivotField showAll="0"/>
    <pivotField showAll="0"/>
    <pivotField showAll="0"/>
    <pivotField showAll="0"/>
    <pivotField name="tdindividuosautuados" axis="axisRow" showAll="0" sortType="ascending">
      <items count="7">
        <item x="0"/>
        <item x="1"/>
        <item x="2"/>
        <item x="3"/>
        <item x="4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 defaultSubtotal="0">
      <items count="9">
        <item x="0"/>
        <item x="1"/>
        <item x="2"/>
        <item x="3"/>
        <item x="4"/>
        <item x="5"/>
        <item x="6"/>
        <item x="7"/>
        <item x="8"/>
      </items>
    </pivotField>
  </pivotFields>
  <rowFields count="1">
    <field x="13"/>
  </rowFields>
  <rowItems count="7">
    <i>
      <x v="3"/>
    </i>
    <i>
      <x v="5"/>
    </i>
    <i>
      <x v="4"/>
    </i>
    <i>
      <x v="2"/>
    </i>
    <i>
      <x/>
    </i>
    <i>
      <x v="1"/>
    </i>
    <i t="grand">
      <x/>
    </i>
  </rowItems>
  <colItems count="1">
    <i/>
  </colItems>
  <dataFields count="1">
    <dataField name="TOTAL AUTUADOS" fld="7" baseField="12" baseItem="0"/>
  </dataFields>
  <chartFormats count="1"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D000000}" name="tdTotProcSei" cacheId="15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B2:B3" firstHeaderRow="1" firstDataRow="1" firstDataCol="0"/>
  <pivotFields count="16">
    <pivotField showAll="0"/>
    <pivotField dataField="1" showAll="0"/>
    <pivotField showAll="0"/>
    <pivotField showAll="0"/>
    <pivotField showAll="0"/>
    <pivotField showAll="0"/>
    <pivotField showAll="0">
      <items count="50">
        <item x="46"/>
        <item x="27"/>
        <item x="41"/>
        <item x="14"/>
        <item x="13"/>
        <item x="5"/>
        <item x="12"/>
        <item x="39"/>
        <item x="6"/>
        <item x="40"/>
        <item x="26"/>
        <item x="42"/>
        <item x="20"/>
        <item x="21"/>
        <item x="29"/>
        <item x="18"/>
        <item x="23"/>
        <item x="7"/>
        <item x="9"/>
        <item x="38"/>
        <item x="34"/>
        <item x="10"/>
        <item x="2"/>
        <item x="11"/>
        <item x="1"/>
        <item x="22"/>
        <item x="3"/>
        <item x="4"/>
        <item x="16"/>
        <item x="0"/>
        <item x="33"/>
        <item x="28"/>
        <item x="15"/>
        <item x="35"/>
        <item x="37"/>
        <item x="17"/>
        <item x="30"/>
        <item x="32"/>
        <item x="8"/>
        <item x="19"/>
        <item x="31"/>
        <item x="36"/>
        <item x="44"/>
        <item x="24"/>
        <item x="43"/>
        <item x="25"/>
        <item x="45"/>
        <item x="47"/>
        <item x="4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>
      <items count="9">
        <item x="0"/>
        <item x="1"/>
        <item x="2"/>
        <item x="3"/>
        <item x="4"/>
        <item x="5"/>
        <item x="6"/>
        <item x="7"/>
        <item x="8"/>
      </items>
    </pivotField>
  </pivotFields>
  <rowItems count="1">
    <i/>
  </rowItems>
  <colItems count="1">
    <i/>
  </colItems>
  <dataFields count="1">
    <dataField name="TOTAL PROCESSOS SEI" fld="1" subtotal="count" baseField="0" baseItem="1992272374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7000000}" name="tdTot2ºSei" cacheId="15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0">
  <location ref="F18:G25" firstHeaderRow="1" firstDataRow="1" firstDataCol="1"/>
  <pivotFields count="16">
    <pivotField showAll="0"/>
    <pivotField showAll="0"/>
    <pivotField showAll="0"/>
    <pivotField showAll="0"/>
    <pivotField showAll="0"/>
    <pivotField showAll="0"/>
    <pivotField showAll="0">
      <items count="50">
        <item x="46"/>
        <item x="27"/>
        <item x="41"/>
        <item x="14"/>
        <item x="13"/>
        <item x="5"/>
        <item x="12"/>
        <item x="39"/>
        <item x="6"/>
        <item x="40"/>
        <item x="26"/>
        <item x="42"/>
        <item x="20"/>
        <item x="21"/>
        <item x="29"/>
        <item x="18"/>
        <item x="23"/>
        <item x="7"/>
        <item x="9"/>
        <item x="38"/>
        <item x="34"/>
        <item x="10"/>
        <item x="2"/>
        <item x="11"/>
        <item x="1"/>
        <item x="22"/>
        <item x="3"/>
        <item x="4"/>
        <item x="16"/>
        <item x="0"/>
        <item x="33"/>
        <item x="28"/>
        <item x="15"/>
        <item x="35"/>
        <item x="37"/>
        <item x="17"/>
        <item x="30"/>
        <item x="32"/>
        <item x="8"/>
        <item x="19"/>
        <item x="31"/>
        <item x="36"/>
        <item x="44"/>
        <item x="24"/>
        <item x="43"/>
        <item x="25"/>
        <item x="45"/>
        <item x="47"/>
        <item x="48"/>
        <item t="default"/>
      </items>
    </pivotField>
    <pivotField showAll="0"/>
    <pivotField dataField="1" showAll="0"/>
    <pivotField showAll="0"/>
    <pivotField showAll="0"/>
    <pivotField showAll="0"/>
    <pivotField showAll="0"/>
    <pivotField axis="axisRow" showAll="0" sortType="ascending">
      <items count="7">
        <item x="2"/>
        <item x="1"/>
        <item x="0"/>
        <item x="3"/>
        <item x="4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 defaultSubtotal="0">
      <items count="9">
        <item x="0"/>
        <item x="1"/>
        <item x="2"/>
        <item x="3"/>
        <item x="4"/>
        <item x="5"/>
        <item x="6"/>
        <item x="7"/>
        <item x="8"/>
      </items>
    </pivotField>
  </pivotFields>
  <rowFields count="1">
    <field x="13"/>
  </rowFields>
  <rowItems count="7">
    <i>
      <x v="5"/>
    </i>
    <i>
      <x v="3"/>
    </i>
    <i>
      <x v="2"/>
    </i>
    <i>
      <x v="4"/>
    </i>
    <i>
      <x/>
    </i>
    <i>
      <x v="1"/>
    </i>
    <i t="grand">
      <x/>
    </i>
  </rowItems>
  <colItems count="1">
    <i/>
  </colItems>
  <dataFields count="1">
    <dataField name="TOTAL 2º SEI" fld="8" baseField="12" baseItem="0"/>
  </dataFields>
  <chartFormats count="1">
    <chartFormat chart="9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6000000}" name="tdindvMandado" cacheId="15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B12:B13" firstHeaderRow="1" firstDataRow="1" firstDataCol="0"/>
  <pivotFields count="16">
    <pivotField showAll="0"/>
    <pivotField showAll="0"/>
    <pivotField showAll="0"/>
    <pivotField dataField="1" showAll="0"/>
    <pivotField showAll="0"/>
    <pivotField showAll="0"/>
    <pivotField showAll="0">
      <items count="50">
        <item x="46"/>
        <item x="27"/>
        <item x="41"/>
        <item x="14"/>
        <item x="13"/>
        <item x="5"/>
        <item x="12"/>
        <item x="39"/>
        <item x="6"/>
        <item x="40"/>
        <item x="26"/>
        <item x="42"/>
        <item x="20"/>
        <item x="21"/>
        <item x="29"/>
        <item x="18"/>
        <item x="23"/>
        <item x="7"/>
        <item x="9"/>
        <item x="38"/>
        <item x="34"/>
        <item x="10"/>
        <item x="2"/>
        <item x="11"/>
        <item x="1"/>
        <item x="22"/>
        <item x="3"/>
        <item x="4"/>
        <item x="16"/>
        <item x="0"/>
        <item x="33"/>
        <item x="28"/>
        <item x="15"/>
        <item x="35"/>
        <item x="37"/>
        <item x="17"/>
        <item x="30"/>
        <item x="32"/>
        <item x="8"/>
        <item x="19"/>
        <item x="31"/>
        <item x="36"/>
        <item x="44"/>
        <item x="24"/>
        <item x="43"/>
        <item x="25"/>
        <item x="45"/>
        <item x="47"/>
        <item x="4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>
      <items count="9">
        <item x="0"/>
        <item x="1"/>
        <item x="2"/>
        <item x="3"/>
        <item x="4"/>
        <item x="5"/>
        <item x="6"/>
        <item x="7"/>
        <item x="8"/>
      </items>
    </pivotField>
  </pivotFields>
  <rowItems count="1">
    <i/>
  </rowItems>
  <colItems count="1">
    <i/>
  </colItems>
  <dataFields count="1">
    <dataField name="IND. COM MANDADO" fld="3" baseField="0" baseItem="1992272374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5000000}" name="tdindvAntecedentes" cacheId="15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B6:C8" firstHeaderRow="1" firstDataRow="1" firstDataCol="1"/>
  <pivotFields count="16">
    <pivotField showAll="0"/>
    <pivotField showAll="0"/>
    <pivotField axis="axisRow" showAll="0">
      <items count="4">
        <item h="1" x="1"/>
        <item x="0"/>
        <item h="1" x="2"/>
        <item t="default"/>
      </items>
    </pivotField>
    <pivotField showAll="0"/>
    <pivotField showAll="0"/>
    <pivotField showAll="0"/>
    <pivotField showAll="0">
      <items count="50">
        <item x="46"/>
        <item x="27"/>
        <item x="41"/>
        <item x="14"/>
        <item x="13"/>
        <item x="5"/>
        <item x="12"/>
        <item x="39"/>
        <item x="6"/>
        <item x="40"/>
        <item x="26"/>
        <item x="42"/>
        <item x="20"/>
        <item x="21"/>
        <item x="29"/>
        <item x="18"/>
        <item x="23"/>
        <item x="7"/>
        <item x="9"/>
        <item x="38"/>
        <item x="34"/>
        <item x="10"/>
        <item x="2"/>
        <item x="11"/>
        <item x="1"/>
        <item x="22"/>
        <item x="3"/>
        <item x="4"/>
        <item x="16"/>
        <item x="0"/>
        <item x="33"/>
        <item x="28"/>
        <item x="15"/>
        <item x="35"/>
        <item x="37"/>
        <item x="17"/>
        <item x="30"/>
        <item x="32"/>
        <item x="8"/>
        <item x="19"/>
        <item x="31"/>
        <item x="36"/>
        <item x="44"/>
        <item x="24"/>
        <item x="43"/>
        <item x="25"/>
        <item x="45"/>
        <item x="47"/>
        <item x="48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 defaultSubtotal="0">
      <items count="9">
        <item x="0"/>
        <item x="1"/>
        <item x="2"/>
        <item x="3"/>
        <item x="4"/>
        <item x="5"/>
        <item x="6"/>
        <item x="7"/>
        <item x="8"/>
      </items>
    </pivotField>
  </pivotFields>
  <rowFields count="1">
    <field x="2"/>
  </rowFields>
  <rowItems count="2">
    <i>
      <x v="1"/>
    </i>
    <i t="grand">
      <x/>
    </i>
  </rowItems>
  <colItems count="1">
    <i/>
  </colItems>
  <dataFields count="1">
    <dataField name="Soma de 1º PROCESSO SEI GERADO" fld="7" baseField="2" baseItem="2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B000000}" name="tdTotBairros" cacheId="15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4">
  <location ref="B49:C55" firstHeaderRow="1" firstDataRow="1" firstDataCol="1"/>
  <pivotFields count="16">
    <pivotField showAll="0"/>
    <pivotField showAll="0"/>
    <pivotField showAll="0"/>
    <pivotField showAll="0"/>
    <pivotField axis="axisRow" showAll="0" measureFilter="1" sortType="ascending">
      <items count="19">
        <item x="0"/>
        <item x="1"/>
        <item x="5"/>
        <item x="4"/>
        <item x="6"/>
        <item x="2"/>
        <item x="3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>
      <items count="50">
        <item x="46"/>
        <item x="27"/>
        <item x="41"/>
        <item x="14"/>
        <item x="13"/>
        <item x="5"/>
        <item x="12"/>
        <item x="39"/>
        <item x="6"/>
        <item x="40"/>
        <item x="26"/>
        <item x="42"/>
        <item x="20"/>
        <item x="21"/>
        <item x="29"/>
        <item x="18"/>
        <item x="23"/>
        <item x="7"/>
        <item x="9"/>
        <item x="38"/>
        <item x="34"/>
        <item x="10"/>
        <item x="2"/>
        <item x="11"/>
        <item x="1"/>
        <item x="22"/>
        <item x="3"/>
        <item x="4"/>
        <item x="16"/>
        <item x="0"/>
        <item x="33"/>
        <item x="28"/>
        <item x="15"/>
        <item x="35"/>
        <item x="37"/>
        <item x="17"/>
        <item x="30"/>
        <item x="32"/>
        <item x="8"/>
        <item x="19"/>
        <item x="31"/>
        <item x="36"/>
        <item x="44"/>
        <item x="24"/>
        <item x="43"/>
        <item x="25"/>
        <item x="45"/>
        <item x="47"/>
        <item x="48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 defaultSubtotal="0">
      <items count="9">
        <item x="0"/>
        <item x="1"/>
        <item x="2"/>
        <item x="3"/>
        <item x="4"/>
        <item x="5"/>
        <item x="6"/>
        <item x="7"/>
        <item x="8"/>
      </items>
    </pivotField>
  </pivotFields>
  <rowFields count="1">
    <field x="4"/>
  </rowFields>
  <rowItems count="6">
    <i>
      <x v="4"/>
    </i>
    <i>
      <x v="9"/>
    </i>
    <i>
      <x/>
    </i>
    <i>
      <x v="5"/>
    </i>
    <i>
      <x v="1"/>
    </i>
    <i t="grand">
      <x/>
    </i>
  </rowItems>
  <colItems count="1">
    <i/>
  </colItems>
  <dataFields count="1">
    <dataField name="TOTAL BAIRROS" fld="7" baseField="0" baseItem="0"/>
  </dataFields>
  <chartFormats count="5">
    <chartFormat chart="8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2" iMeasureFld="0">
      <autoFilter ref="A1">
        <filterColumn colId="0">
          <top10 val="5" filterVal="5"/>
        </filterColumn>
      </autoFilter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ela dinâmica1" cacheId="15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0">
  <location ref="F36:G43" firstHeaderRow="1" firstDataRow="1" firstDataCol="1"/>
  <pivotFields count="16">
    <pivotField showAll="0"/>
    <pivotField showAll="0"/>
    <pivotField showAll="0"/>
    <pivotField showAll="0"/>
    <pivotField showAll="0"/>
    <pivotField showAll="0"/>
    <pivotField showAll="0">
      <items count="50">
        <item x="46"/>
        <item x="27"/>
        <item x="41"/>
        <item x="14"/>
        <item x="13"/>
        <item x="5"/>
        <item x="12"/>
        <item x="39"/>
        <item x="6"/>
        <item x="40"/>
        <item x="26"/>
        <item x="42"/>
        <item x="20"/>
        <item x="21"/>
        <item x="29"/>
        <item x="18"/>
        <item x="23"/>
        <item x="7"/>
        <item x="9"/>
        <item x="38"/>
        <item x="34"/>
        <item x="10"/>
        <item x="2"/>
        <item x="11"/>
        <item x="1"/>
        <item x="22"/>
        <item x="3"/>
        <item x="4"/>
        <item x="16"/>
        <item x="0"/>
        <item x="33"/>
        <item x="28"/>
        <item x="15"/>
        <item x="35"/>
        <item x="37"/>
        <item x="17"/>
        <item x="30"/>
        <item x="32"/>
        <item x="8"/>
        <item x="19"/>
        <item x="31"/>
        <item x="36"/>
        <item x="44"/>
        <item x="24"/>
        <item x="43"/>
        <item x="25"/>
        <item x="45"/>
        <item x="47"/>
        <item x="48"/>
        <item t="default"/>
      </items>
    </pivotField>
    <pivotField showAll="0"/>
    <pivotField showAll="0"/>
    <pivotField showAll="0"/>
    <pivotField showAll="0"/>
    <pivotField showAll="0"/>
    <pivotField dataField="1" showAll="0"/>
    <pivotField axis="axisRow" showAll="0">
      <items count="7">
        <item x="2"/>
        <item x="1"/>
        <item x="0"/>
        <item x="3"/>
        <item x="4"/>
        <item x="5"/>
        <item t="default"/>
      </items>
    </pivotField>
    <pivotField showAll="0"/>
    <pivotField showAll="0" defaultSubtotal="0">
      <items count="9">
        <item x="0"/>
        <item x="1"/>
        <item x="2"/>
        <item x="3"/>
        <item x="4"/>
        <item x="5"/>
        <item x="6"/>
        <item x="7"/>
        <item x="8"/>
      </items>
    </pivotField>
  </pivotFields>
  <rowFields count="1">
    <field x="13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oma de 6º  PROCESSO SEI GERADO" fld="12" baseField="0" baseItem="0"/>
  </dataFields>
  <chartFormats count="3"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1000000}" name="Tabela dinâmica2" cacheId="15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32">
  <location ref="B188:C190" firstHeaderRow="1" firstDataRow="1" firstDataCol="1"/>
  <pivotFields count="16">
    <pivotField dataField="1" showAll="0"/>
    <pivotField showAll="0"/>
    <pivotField showAll="0"/>
    <pivotField showAll="0"/>
    <pivotField showAll="0"/>
    <pivotField showAll="0"/>
    <pivotField showAll="0">
      <items count="50">
        <item x="46"/>
        <item x="27"/>
        <item x="41"/>
        <item x="14"/>
        <item x="13"/>
        <item x="5"/>
        <item x="12"/>
        <item x="39"/>
        <item x="6"/>
        <item x="40"/>
        <item x="26"/>
        <item x="42"/>
        <item x="20"/>
        <item x="21"/>
        <item x="29"/>
        <item x="18"/>
        <item x="23"/>
        <item x="7"/>
        <item x="9"/>
        <item x="38"/>
        <item x="34"/>
        <item x="10"/>
        <item x="2"/>
        <item x="11"/>
        <item x="1"/>
        <item x="22"/>
        <item x="3"/>
        <item x="4"/>
        <item x="16"/>
        <item x="0"/>
        <item x="33"/>
        <item x="28"/>
        <item x="15"/>
        <item x="35"/>
        <item x="37"/>
        <item x="17"/>
        <item x="30"/>
        <item x="32"/>
        <item x="8"/>
        <item x="19"/>
        <item x="31"/>
        <item x="36"/>
        <item x="44"/>
        <item x="24"/>
        <item x="43"/>
        <item x="25"/>
        <item x="45"/>
        <item x="47"/>
        <item x="4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Row" showAll="0">
      <items count="3">
        <item x="1"/>
        <item h="1" x="0"/>
        <item t="default"/>
      </items>
    </pivotField>
    <pivotField showAll="0" defaultSubtotal="0">
      <items count="9">
        <item x="0"/>
        <item x="1"/>
        <item x="2"/>
        <item x="3"/>
        <item x="4"/>
        <item x="5"/>
        <item x="6"/>
        <item x="7"/>
        <item x="8"/>
      </items>
    </pivotField>
  </pivotFields>
  <rowFields count="1">
    <field x="14"/>
  </rowFields>
  <rowItems count="2">
    <i>
      <x/>
    </i>
    <i t="grand">
      <x/>
    </i>
  </rowItems>
  <colItems count="1">
    <i/>
  </colItems>
  <dataFields count="1">
    <dataField name="Contagem de ID FLANELINHA" fld="0" subtotal="count" baseField="13" baseItem="0"/>
  </dataFields>
  <chartFormats count="1">
    <chartFormat chart="31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2000000}" name="Tabela dinâmica3" cacheId="7" applyNumberFormats="0" applyBorderFormats="0" applyFontFormats="0" applyPatternFormats="0" applyAlignmentFormats="0" applyWidthHeightFormats="1" dataCaption="Valores" updatedVersion="6" minRefreshableVersion="3" itemPrintTitles="1" createdVersion="6" indent="0" multipleFieldFilters="0" chartFormat="23">
  <location ref="A28:B32" firstHeaderRow="1" firstDataRow="1" firstDataCol="1"/>
  <pivotFields count="2">
    <pivotField axis="axisRow" showAll="0">
      <items count="17">
        <item h="1" x="0"/>
        <item h="1" x="7"/>
        <item h="1" x="4"/>
        <item h="1" x="10"/>
        <item h="1" x="9"/>
        <item x="3"/>
        <item x="14"/>
        <item h="1" x="5"/>
        <item h="1" x="1"/>
        <item h="1" x="2"/>
        <item h="1" x="12"/>
        <item h="1" x="11"/>
        <item h="1" x="8"/>
        <item h="1" x="13"/>
        <item x="15"/>
        <item h="1" x="6"/>
        <item t="default"/>
      </items>
    </pivotField>
    <pivotField dataField="1" showAll="0"/>
  </pivotFields>
  <rowFields count="1">
    <field x="0"/>
  </rowFields>
  <rowItems count="4">
    <i>
      <x v="5"/>
    </i>
    <i>
      <x v="6"/>
    </i>
    <i>
      <x v="14"/>
    </i>
    <i t="grand">
      <x/>
    </i>
  </rowItems>
  <colItems count="1">
    <i/>
  </colItems>
  <dataFields count="1">
    <dataField name="Soma de Nº DE INDIVÍDUOS" fld="1" baseField="0" baseItem="0"/>
  </dataFields>
  <chartFormats count="4">
    <chartFormat chart="22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" format="18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22" format="19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22" format="20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1000000}" name="Tabela dinâmica2" cacheId="7" applyNumberFormats="0" applyBorderFormats="0" applyFontFormats="0" applyPatternFormats="0" applyAlignmentFormats="0" applyWidthHeightFormats="1" dataCaption="Valores" updatedVersion="6" minRefreshableVersion="3" itemPrintTitles="1" createdVersion="6" indent="0" multipleFieldFilters="0" chartFormat="18">
  <location ref="A16:B19" firstHeaderRow="1" firstDataRow="1" firstDataCol="1"/>
  <pivotFields count="2">
    <pivotField axis="axisRow" showAll="0">
      <items count="17">
        <item h="1" x="0"/>
        <item h="1" x="7"/>
        <item h="1" x="4"/>
        <item h="1" x="10"/>
        <item h="1" x="9"/>
        <item h="1" x="3"/>
        <item h="1" x="14"/>
        <item x="5"/>
        <item h="1" x="1"/>
        <item h="1" x="2"/>
        <item h="1" x="12"/>
        <item h="1" x="11"/>
        <item h="1" x="8"/>
        <item h="1" x="13"/>
        <item h="1" x="15"/>
        <item x="6"/>
        <item t="default"/>
      </items>
    </pivotField>
    <pivotField dataField="1" showAll="0"/>
  </pivotFields>
  <rowFields count="1">
    <field x="0"/>
  </rowFields>
  <rowItems count="3">
    <i>
      <x v="7"/>
    </i>
    <i>
      <x v="15"/>
    </i>
    <i t="grand">
      <x/>
    </i>
  </rowItems>
  <colItems count="1">
    <i/>
  </colItems>
  <dataFields count="1">
    <dataField name="Soma de Nº DE INDIVÍDUOS" fld="1" baseField="0" baseItem="0"/>
  </dataFields>
  <chartFormats count="3">
    <chartFormat chart="15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8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19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ela dinâmica1" cacheId="7" applyNumberFormats="0" applyBorderFormats="0" applyFontFormats="0" applyPatternFormats="0" applyAlignmentFormats="0" applyWidthHeightFormats="1" dataCaption="Valores" updatedVersion="6" minRefreshableVersion="3" itemPrintTitles="1" createdVersion="6" indent="0" multipleFieldFilters="0" chartFormat="12">
  <location ref="A4:B7" firstHeaderRow="1" firstDataRow="1" firstDataCol="1"/>
  <pivotFields count="2">
    <pivotField axis="axisRow" showAll="0">
      <items count="17">
        <item h="1" x="0"/>
        <item h="1" x="7"/>
        <item h="1" x="4"/>
        <item h="1" x="10"/>
        <item h="1" x="9"/>
        <item h="1" x="3"/>
        <item h="1" x="14"/>
        <item h="1" x="5"/>
        <item x="1"/>
        <item h="1" x="2"/>
        <item h="1" x="12"/>
        <item h="1" x="11"/>
        <item h="1" x="8"/>
        <item x="13"/>
        <item h="1" x="15"/>
        <item h="1" x="6"/>
        <item t="default"/>
      </items>
    </pivotField>
    <pivotField dataField="1" showAll="0"/>
  </pivotFields>
  <rowFields count="1">
    <field x="0"/>
  </rowFields>
  <rowItems count="3">
    <i>
      <x v="8"/>
    </i>
    <i>
      <x v="13"/>
    </i>
    <i t="grand">
      <x/>
    </i>
  </rowItems>
  <colItems count="1">
    <i/>
  </colItems>
  <dataFields count="1">
    <dataField name="Soma de Nº DE INDIVÍDUOS" fld="1" baseField="0" baseItem="8"/>
  </dataFields>
  <chartFormats count="3">
    <chartFormat chart="10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5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16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3000000}" name="Tabela dinâmica4" cacheId="7" applyNumberFormats="0" applyBorderFormats="0" applyFontFormats="0" applyPatternFormats="0" applyAlignmentFormats="0" applyWidthHeightFormats="1" dataCaption="Valores" updatedVersion="6" minRefreshableVersion="3" itemPrintTitles="1" createdVersion="6" indent="0" multipleFieldFilters="0" chartFormat="28">
  <location ref="A42:B49" firstHeaderRow="1" firstDataRow="1" firstDataCol="1"/>
  <pivotFields count="2">
    <pivotField axis="axisRow" showAll="0">
      <items count="17">
        <item h="1" x="0"/>
        <item x="7"/>
        <item h="1" x="4"/>
        <item x="10"/>
        <item x="9"/>
        <item h="1" x="3"/>
        <item h="1" x="14"/>
        <item h="1" x="5"/>
        <item h="1" x="1"/>
        <item h="1" x="2"/>
        <item x="12"/>
        <item x="11"/>
        <item x="8"/>
        <item h="1" x="13"/>
        <item h="1" x="15"/>
        <item h="1" x="6"/>
        <item t="default"/>
      </items>
    </pivotField>
    <pivotField dataField="1" showAll="0"/>
  </pivotFields>
  <rowFields count="1">
    <field x="0"/>
  </rowFields>
  <rowItems count="7">
    <i>
      <x v="1"/>
    </i>
    <i>
      <x v="3"/>
    </i>
    <i>
      <x v="4"/>
    </i>
    <i>
      <x v="10"/>
    </i>
    <i>
      <x v="11"/>
    </i>
    <i>
      <x v="12"/>
    </i>
    <i t="grand">
      <x/>
    </i>
  </rowItems>
  <colItems count="1">
    <i/>
  </colItems>
  <dataFields count="1">
    <dataField name="Soma de Nº DE INDIVÍDUOS" fld="1" baseField="0" baseItem="0"/>
  </dataFields>
  <chartFormats count="7">
    <chartFormat chart="27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1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7" format="19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7" format="20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27" format="2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27" format="22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27" format="23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BAIRRO" xr10:uid="{00000000-0013-0000-FFFF-FFFF01000000}" sourceName="BAIRRO">
  <data>
    <tabular pivotCacheId="309884846">
      <items count="18">
        <i x="17" s="1"/>
        <i x="11" s="1"/>
        <i x="3" s="1"/>
        <i x="2" s="1"/>
        <i x="6" s="1"/>
        <i x="14" s="1"/>
        <i x="4" s="1"/>
        <i x="5" s="1"/>
        <i x="7" s="1"/>
        <i x="12" s="1"/>
        <i x="16" s="1"/>
        <i x="13" s="1"/>
        <i x="1" s="1"/>
        <i x="0" s="1"/>
        <i x="15" s="1"/>
        <i x="8" s="1"/>
        <i x="9" s="1"/>
        <i x="1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IDADE" xr10:uid="{00000000-0013-0000-FFFF-FFFF02000000}" sourceName="IDADE">
  <data>
    <tabular pivotCacheId="309884846">
      <items count="49">
        <i x="46" s="1"/>
        <i x="27" s="1"/>
        <i x="41" s="1"/>
        <i x="14" s="1"/>
        <i x="13" s="1"/>
        <i x="5" s="1"/>
        <i x="47" s="1"/>
        <i x="12" s="1"/>
        <i x="39" s="1"/>
        <i x="6" s="1"/>
        <i x="40" s="1"/>
        <i x="26" s="1"/>
        <i x="42" s="1"/>
        <i x="20" s="1"/>
        <i x="21" s="1"/>
        <i x="29" s="1"/>
        <i x="18" s="1"/>
        <i x="23" s="1"/>
        <i x="7" s="1"/>
        <i x="9" s="1"/>
        <i x="38" s="1"/>
        <i x="34" s="1"/>
        <i x="10" s="1"/>
        <i x="2" s="1"/>
        <i x="11" s="1"/>
        <i x="1" s="1"/>
        <i x="22" s="1"/>
        <i x="3" s="1"/>
        <i x="4" s="1"/>
        <i x="16" s="1"/>
        <i x="0" s="1"/>
        <i x="33" s="1"/>
        <i x="28" s="1"/>
        <i x="15" s="1"/>
        <i x="35" s="1"/>
        <i x="37" s="1"/>
        <i x="17" s="1"/>
        <i x="30" s="1"/>
        <i x="32" s="1"/>
        <i x="8" s="1"/>
        <i x="19" s="1"/>
        <i x="31" s="1"/>
        <i x="36" s="1"/>
        <i x="48" s="1"/>
        <i x="44" s="1"/>
        <i x="24" s="1"/>
        <i x="43" s="1"/>
        <i x="25" s="1"/>
        <i x="45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BAIRRO 1" xr10:uid="{00000000-0014-0000-FFFF-FFFF01000000}" cache="SegmentaçãodeDados_BAIRRO" caption="BAIRRO" style="SlicerStyleDark1" rowHeight="288925"/>
  <slicer name="IDADE" xr10:uid="{00000000-0014-0000-FFFF-FFFF02000000}" cache="SegmentaçãodeDados_IDADE" caption="IDADE" startItem="3" style="SlicerStyleDark1" rowHeight="2730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8" displayName="Tabela8" ref="A1:O259" totalsRowShown="0" headerRowDxfId="8">
  <autoFilter ref="A1:O259" xr:uid="{00000000-0009-0000-0100-000001000000}"/>
  <tableColumns count="15">
    <tableColumn id="1" xr3:uid="{00000000-0010-0000-0000-000001000000}" name="ID FLANELINHA"/>
    <tableColumn id="2" xr3:uid="{00000000-0010-0000-0000-000002000000}" name="NOME" dataDxfId="7"/>
    <tableColumn id="11" xr3:uid="{00000000-0010-0000-0000-00000B000000}" name="ANTECENDENTES" dataDxfId="6"/>
    <tableColumn id="12" xr3:uid="{00000000-0010-0000-0000-00000C000000}" name="MANDADO" dataDxfId="5"/>
    <tableColumn id="13" xr3:uid="{00000000-0010-0000-0000-00000D000000}" name="BAIRRO" dataDxfId="4"/>
    <tableColumn id="9" xr3:uid="{00000000-0010-0000-0000-000009000000}" name="SEXO" dataDxfId="3"/>
    <tableColumn id="10" xr3:uid="{00000000-0010-0000-0000-00000A000000}" name="IDADE" dataDxfId="2"/>
    <tableColumn id="3" xr3:uid="{00000000-0010-0000-0000-000003000000}" name="1º PROCESSO SEI GERADO"/>
    <tableColumn id="4" xr3:uid="{00000000-0010-0000-0000-000004000000}" name="2º  PROCESSO SEI GERADO"/>
    <tableColumn id="5" xr3:uid="{00000000-0010-0000-0000-000005000000}" name="3º  PROCESSO SEI GERADO"/>
    <tableColumn id="6" xr3:uid="{00000000-0010-0000-0000-000006000000}" name="4º  PROCESSO SEI GERADO"/>
    <tableColumn id="7" xr3:uid="{00000000-0010-0000-0000-000007000000}" name="5º  PROCESSO SEI GERADO"/>
    <tableColumn id="15" xr3:uid="{00000000-0010-0000-0000-00000F000000}" name="6º  PROCESSO SEI GERADO"/>
    <tableColumn id="8" xr3:uid="{00000000-0010-0000-0000-000008000000}" name="MÊS" dataDxfId="1"/>
    <tableColumn id="14" xr3:uid="{00000000-0010-0000-0000-00000E000000}" name="JOGOS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2" displayName="Tabela2" ref="A1:B17" totalsRowShown="0" headerRowDxfId="0">
  <autoFilter ref="A1:B17" xr:uid="{00000000-0009-0000-0100-000002000000}"/>
  <tableColumns count="2">
    <tableColumn id="1" xr3:uid="{00000000-0010-0000-0100-000001000000}" name="TIPO"/>
    <tableColumn id="2" xr3:uid="{00000000-0010-0000-0100-000002000000}" name="Nº DE INDIVÍDUOS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Dashboard">
      <a:majorFont>
        <a:latin typeface="Latha"/>
        <a:ea typeface=""/>
        <a:cs typeface=""/>
      </a:majorFont>
      <a:minorFont>
        <a:latin typeface="Lath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Dashboard">
    <a:majorFont>
      <a:latin typeface="Latha"/>
      <a:ea typeface=""/>
      <a:cs typeface=""/>
    </a:majorFont>
    <a:minorFont>
      <a:latin typeface="Latha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Dashboard">
    <a:majorFont>
      <a:latin typeface="Latha"/>
      <a:ea typeface=""/>
      <a:cs typeface=""/>
    </a:majorFont>
    <a:minorFont>
      <a:latin typeface="Latha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Dashboard">
    <a:majorFont>
      <a:latin typeface="Latha"/>
      <a:ea typeface=""/>
      <a:cs typeface=""/>
    </a:majorFont>
    <a:minorFont>
      <a:latin typeface="Latha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Dashboard">
    <a:majorFont>
      <a:latin typeface="Latha"/>
      <a:ea typeface=""/>
      <a:cs typeface=""/>
    </a:majorFont>
    <a:minorFont>
      <a:latin typeface="Latha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Dashboard">
    <a:majorFont>
      <a:latin typeface="Latha"/>
      <a:ea typeface=""/>
      <a:cs typeface=""/>
    </a:majorFont>
    <a:minorFont>
      <a:latin typeface="Latha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Dashboard">
    <a:majorFont>
      <a:latin typeface="Latha"/>
      <a:ea typeface=""/>
      <a:cs typeface=""/>
    </a:majorFont>
    <a:minorFont>
      <a:latin typeface="Latha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Dashboard">
    <a:majorFont>
      <a:latin typeface="Latha"/>
      <a:ea typeface=""/>
      <a:cs typeface=""/>
    </a:majorFont>
    <a:minorFont>
      <a:latin typeface="Latha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Dashboard">
    <a:majorFont>
      <a:latin typeface="Latha"/>
      <a:ea typeface=""/>
      <a:cs typeface=""/>
    </a:majorFont>
    <a:minorFont>
      <a:latin typeface="Latha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Dashboard">
    <a:majorFont>
      <a:latin typeface="Latha"/>
      <a:ea typeface=""/>
      <a:cs typeface=""/>
    </a:majorFont>
    <a:minorFont>
      <a:latin typeface="Latha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Dashboard">
    <a:majorFont>
      <a:latin typeface="Latha"/>
      <a:ea typeface=""/>
      <a:cs typeface=""/>
    </a:majorFont>
    <a:minorFont>
      <a:latin typeface="Latha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Dashboard">
    <a:majorFont>
      <a:latin typeface="Latha"/>
      <a:ea typeface=""/>
      <a:cs typeface=""/>
    </a:majorFont>
    <a:minorFont>
      <a:latin typeface="Latha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Dashboard">
    <a:majorFont>
      <a:latin typeface="Latha"/>
      <a:ea typeface=""/>
      <a:cs typeface=""/>
    </a:majorFont>
    <a:minorFont>
      <a:latin typeface="Latha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6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8.xml"/><Relationship Id="rId2" Type="http://schemas.openxmlformats.org/officeDocument/2006/relationships/pivotTable" Target="../pivotTables/pivotTable17.xml"/><Relationship Id="rId1" Type="http://schemas.openxmlformats.org/officeDocument/2006/relationships/pivotTable" Target="../pivotTables/pivotTable16.xml"/><Relationship Id="rId4" Type="http://schemas.openxmlformats.org/officeDocument/2006/relationships/pivotTable" Target="../pivotTables/pivotTable1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U263"/>
  <sheetViews>
    <sheetView topLeftCell="M1" zoomScaleNormal="100" workbookViewId="0">
      <pane ySplit="1" topLeftCell="A2" activePane="bottomLeft" state="frozen"/>
      <selection pane="bottomLeft" activeCell="S5" sqref="S5"/>
    </sheetView>
  </sheetViews>
  <sheetFormatPr defaultRowHeight="18.5" x14ac:dyDescent="0.65"/>
  <cols>
    <col min="1" max="1" width="18.453125" customWidth="1"/>
    <col min="2" max="2" width="50.26953125" customWidth="1"/>
    <col min="3" max="3" width="22" customWidth="1"/>
    <col min="4" max="4" width="16.08984375" customWidth="1"/>
    <col min="5" max="5" width="21.453125" customWidth="1"/>
    <col min="6" max="6" width="17.90625" customWidth="1"/>
    <col min="7" max="7" width="12" customWidth="1"/>
    <col min="8" max="8" width="32.453125" customWidth="1"/>
    <col min="9" max="9" width="34.6328125" customWidth="1"/>
    <col min="10" max="10" width="35.453125" customWidth="1"/>
    <col min="11" max="11" width="39.26953125" customWidth="1"/>
    <col min="12" max="13" width="38.08984375" customWidth="1"/>
    <col min="14" max="14" width="16.453125" customWidth="1"/>
    <col min="15" max="15" width="23.08984375" customWidth="1"/>
    <col min="16" max="16" width="28.7265625" customWidth="1"/>
    <col min="17" max="17" width="15" customWidth="1"/>
    <col min="19" max="19" width="24.6328125" customWidth="1"/>
    <col min="21" max="21" width="20.7265625" customWidth="1"/>
  </cols>
  <sheetData>
    <row r="1" spans="1:21" s="11" customFormat="1" x14ac:dyDescent="0.65">
      <c r="A1" s="11" t="s">
        <v>0</v>
      </c>
      <c r="B1" s="11" t="s">
        <v>1</v>
      </c>
      <c r="C1" s="11" t="s">
        <v>181</v>
      </c>
      <c r="D1" s="11" t="s">
        <v>175</v>
      </c>
      <c r="E1" s="11" t="s">
        <v>176</v>
      </c>
      <c r="F1" s="11" t="s">
        <v>2</v>
      </c>
      <c r="G1" s="11" t="s">
        <v>3</v>
      </c>
      <c r="H1" s="11" t="s">
        <v>4</v>
      </c>
      <c r="I1" s="11" t="s">
        <v>5</v>
      </c>
      <c r="J1" s="11" t="s">
        <v>6</v>
      </c>
      <c r="K1" s="11" t="s">
        <v>7</v>
      </c>
      <c r="L1" s="11" t="s">
        <v>8</v>
      </c>
      <c r="M1" s="11" t="s">
        <v>271</v>
      </c>
      <c r="N1" s="11" t="s">
        <v>9</v>
      </c>
      <c r="O1" s="11" t="s">
        <v>252</v>
      </c>
    </row>
    <row r="2" spans="1:21" ht="19" thickBot="1" x14ac:dyDescent="0.7">
      <c r="A2">
        <f>ROW(A1)</f>
        <v>1</v>
      </c>
      <c r="B2" s="8" t="s">
        <v>10</v>
      </c>
      <c r="C2" s="1">
        <v>1</v>
      </c>
      <c r="D2" s="1">
        <v>0</v>
      </c>
      <c r="E2" s="1" t="s">
        <v>182</v>
      </c>
      <c r="F2" s="1" t="s">
        <v>11</v>
      </c>
      <c r="G2" s="1">
        <v>46</v>
      </c>
      <c r="H2">
        <v>1</v>
      </c>
      <c r="N2" s="1" t="s">
        <v>12</v>
      </c>
    </row>
    <row r="3" spans="1:21" ht="20" thickBot="1" x14ac:dyDescent="0.75">
      <c r="A3">
        <f t="shared" ref="A3:A66" si="0">ROW(A2)</f>
        <v>2</v>
      </c>
      <c r="B3" s="8" t="s">
        <v>13</v>
      </c>
      <c r="C3" s="1">
        <v>1</v>
      </c>
      <c r="D3" s="1">
        <v>0</v>
      </c>
      <c r="E3" s="1" t="s">
        <v>182</v>
      </c>
      <c r="F3" s="1" t="s">
        <v>11</v>
      </c>
      <c r="G3" s="1">
        <v>41</v>
      </c>
      <c r="H3">
        <v>1</v>
      </c>
      <c r="N3" s="1" t="s">
        <v>12</v>
      </c>
      <c r="O3" s="1" t="s">
        <v>253</v>
      </c>
      <c r="Q3" s="13" t="s">
        <v>220</v>
      </c>
      <c r="S3" s="13" t="s">
        <v>222</v>
      </c>
      <c r="U3" s="13" t="s">
        <v>223</v>
      </c>
    </row>
    <row r="4" spans="1:21" ht="19" thickBot="1" x14ac:dyDescent="0.7">
      <c r="A4">
        <f t="shared" si="0"/>
        <v>3</v>
      </c>
      <c r="B4" s="8" t="s">
        <v>14</v>
      </c>
      <c r="C4" s="1">
        <v>1</v>
      </c>
      <c r="D4" s="1">
        <v>0</v>
      </c>
      <c r="E4" s="1" t="s">
        <v>182</v>
      </c>
      <c r="F4" s="1" t="s">
        <v>11</v>
      </c>
      <c r="G4" s="1">
        <v>39</v>
      </c>
      <c r="H4">
        <v>1</v>
      </c>
      <c r="N4" s="1" t="s">
        <v>12</v>
      </c>
      <c r="O4" s="1"/>
      <c r="Q4" s="12">
        <f>SUM(I263:M263)</f>
        <v>68</v>
      </c>
      <c r="S4" s="12">
        <v>368</v>
      </c>
      <c r="U4" s="12">
        <v>18</v>
      </c>
    </row>
    <row r="5" spans="1:21" x14ac:dyDescent="0.65">
      <c r="A5">
        <f t="shared" si="0"/>
        <v>4</v>
      </c>
      <c r="B5" s="8" t="s">
        <v>15</v>
      </c>
      <c r="C5" s="1">
        <v>1</v>
      </c>
      <c r="D5" s="1">
        <v>0</v>
      </c>
      <c r="E5" s="1" t="s">
        <v>182</v>
      </c>
      <c r="F5" s="1" t="s">
        <v>11</v>
      </c>
      <c r="G5" s="1">
        <v>43</v>
      </c>
      <c r="H5">
        <v>1</v>
      </c>
      <c r="N5" s="1" t="s">
        <v>12</v>
      </c>
    </row>
    <row r="6" spans="1:21" x14ac:dyDescent="0.65">
      <c r="A6">
        <f t="shared" si="0"/>
        <v>5</v>
      </c>
      <c r="B6" s="8" t="s">
        <v>16</v>
      </c>
      <c r="C6" s="1">
        <v>1</v>
      </c>
      <c r="D6" s="1">
        <v>0</v>
      </c>
      <c r="E6" s="1" t="s">
        <v>182</v>
      </c>
      <c r="F6" s="1" t="s">
        <v>11</v>
      </c>
      <c r="G6" s="1">
        <v>43</v>
      </c>
      <c r="H6">
        <v>1</v>
      </c>
      <c r="N6" s="1" t="s">
        <v>12</v>
      </c>
    </row>
    <row r="7" spans="1:21" x14ac:dyDescent="0.65">
      <c r="A7">
        <f t="shared" si="0"/>
        <v>6</v>
      </c>
      <c r="B7" s="8" t="s">
        <v>17</v>
      </c>
      <c r="C7" s="1">
        <v>1</v>
      </c>
      <c r="D7" s="1">
        <v>0</v>
      </c>
      <c r="E7" s="1" t="s">
        <v>182</v>
      </c>
      <c r="F7" s="1" t="s">
        <v>11</v>
      </c>
      <c r="G7" s="1">
        <v>44</v>
      </c>
      <c r="H7">
        <v>1</v>
      </c>
      <c r="N7" s="1" t="s">
        <v>12</v>
      </c>
    </row>
    <row r="8" spans="1:21" x14ac:dyDescent="0.65">
      <c r="A8">
        <f t="shared" si="0"/>
        <v>7</v>
      </c>
      <c r="B8" s="8" t="s">
        <v>18</v>
      </c>
      <c r="C8" s="1">
        <v>1</v>
      </c>
      <c r="D8" s="1">
        <v>0</v>
      </c>
      <c r="E8" s="1" t="s">
        <v>182</v>
      </c>
      <c r="F8" s="1" t="s">
        <v>11</v>
      </c>
      <c r="G8" s="1">
        <v>21</v>
      </c>
      <c r="H8">
        <v>1</v>
      </c>
      <c r="N8" s="1" t="s">
        <v>12</v>
      </c>
    </row>
    <row r="9" spans="1:21" x14ac:dyDescent="0.65">
      <c r="A9">
        <f t="shared" si="0"/>
        <v>8</v>
      </c>
      <c r="B9" s="8" t="s">
        <v>19</v>
      </c>
      <c r="C9" s="1">
        <v>1</v>
      </c>
      <c r="D9" s="1">
        <v>0</v>
      </c>
      <c r="E9" s="1" t="s">
        <v>182</v>
      </c>
      <c r="F9" s="1" t="s">
        <v>11</v>
      </c>
      <c r="G9" s="1">
        <v>25</v>
      </c>
      <c r="H9">
        <v>1</v>
      </c>
      <c r="N9" s="1" t="s">
        <v>12</v>
      </c>
    </row>
    <row r="10" spans="1:21" x14ac:dyDescent="0.65">
      <c r="A10">
        <f t="shared" si="0"/>
        <v>9</v>
      </c>
      <c r="B10" s="8" t="s">
        <v>20</v>
      </c>
      <c r="C10" s="1">
        <v>1</v>
      </c>
      <c r="D10" s="1">
        <v>0</v>
      </c>
      <c r="E10" s="1" t="s">
        <v>182</v>
      </c>
      <c r="F10" s="1" t="s">
        <v>11</v>
      </c>
      <c r="G10" s="1">
        <v>34</v>
      </c>
      <c r="H10">
        <v>1</v>
      </c>
      <c r="N10" s="1" t="s">
        <v>12</v>
      </c>
    </row>
    <row r="11" spans="1:21" x14ac:dyDescent="0.65">
      <c r="A11">
        <f t="shared" si="0"/>
        <v>10</v>
      </c>
      <c r="B11" s="8" t="s">
        <v>21</v>
      </c>
      <c r="C11" s="1">
        <v>1</v>
      </c>
      <c r="D11" s="1">
        <v>0</v>
      </c>
      <c r="E11" s="1" t="s">
        <v>182</v>
      </c>
      <c r="F11" s="1" t="s">
        <v>11</v>
      </c>
      <c r="G11" s="1">
        <v>57</v>
      </c>
      <c r="H11">
        <v>1</v>
      </c>
      <c r="N11" s="1" t="s">
        <v>12</v>
      </c>
    </row>
    <row r="12" spans="1:21" x14ac:dyDescent="0.65">
      <c r="A12">
        <f t="shared" si="0"/>
        <v>11</v>
      </c>
      <c r="B12" s="8" t="s">
        <v>22</v>
      </c>
      <c r="C12" s="1">
        <v>1</v>
      </c>
      <c r="D12" s="1">
        <v>0</v>
      </c>
      <c r="E12" s="1" t="s">
        <v>182</v>
      </c>
      <c r="F12" s="1" t="s">
        <v>11</v>
      </c>
      <c r="G12" s="1">
        <v>35</v>
      </c>
      <c r="H12">
        <v>1</v>
      </c>
      <c r="N12" s="1" t="s">
        <v>12</v>
      </c>
    </row>
    <row r="13" spans="1:21" x14ac:dyDescent="0.65">
      <c r="A13">
        <f t="shared" si="0"/>
        <v>12</v>
      </c>
      <c r="B13" s="8" t="s">
        <v>23</v>
      </c>
      <c r="C13" s="1">
        <v>1</v>
      </c>
      <c r="D13" s="1">
        <v>0</v>
      </c>
      <c r="E13" s="1" t="s">
        <v>182</v>
      </c>
      <c r="F13" s="1" t="s">
        <v>11</v>
      </c>
      <c r="G13" s="1">
        <v>41</v>
      </c>
      <c r="H13">
        <v>1</v>
      </c>
      <c r="N13" s="1" t="s">
        <v>12</v>
      </c>
    </row>
    <row r="14" spans="1:21" x14ac:dyDescent="0.65">
      <c r="A14">
        <f t="shared" si="0"/>
        <v>13</v>
      </c>
      <c r="B14" s="8" t="s">
        <v>24</v>
      </c>
      <c r="C14" s="1">
        <v>1</v>
      </c>
      <c r="D14" s="1">
        <v>0</v>
      </c>
      <c r="E14" s="1" t="s">
        <v>182</v>
      </c>
      <c r="F14" s="1" t="s">
        <v>11</v>
      </c>
      <c r="G14" s="1">
        <v>38</v>
      </c>
      <c r="H14">
        <v>1</v>
      </c>
      <c r="N14" s="1" t="s">
        <v>12</v>
      </c>
    </row>
    <row r="15" spans="1:21" x14ac:dyDescent="0.65">
      <c r="A15">
        <f t="shared" si="0"/>
        <v>14</v>
      </c>
      <c r="B15" s="8" t="s">
        <v>25</v>
      </c>
      <c r="C15" s="1">
        <v>1</v>
      </c>
      <c r="D15" s="1">
        <v>0</v>
      </c>
      <c r="E15" s="1" t="s">
        <v>182</v>
      </c>
      <c r="F15" s="1" t="s">
        <v>11</v>
      </c>
      <c r="G15" s="1">
        <v>40</v>
      </c>
      <c r="H15">
        <v>1</v>
      </c>
      <c r="N15" s="1" t="s">
        <v>12</v>
      </c>
    </row>
    <row r="16" spans="1:21" x14ac:dyDescent="0.65">
      <c r="A16">
        <f t="shared" si="0"/>
        <v>15</v>
      </c>
      <c r="B16" s="8" t="s">
        <v>26</v>
      </c>
      <c r="C16" s="1">
        <v>1</v>
      </c>
      <c r="D16" s="1">
        <v>0</v>
      </c>
      <c r="E16" s="1" t="s">
        <v>182</v>
      </c>
      <c r="F16" s="1" t="s">
        <v>11</v>
      </c>
      <c r="G16" s="1">
        <v>44</v>
      </c>
      <c r="H16">
        <v>1</v>
      </c>
      <c r="N16" s="1" t="s">
        <v>12</v>
      </c>
    </row>
    <row r="17" spans="1:15" x14ac:dyDescent="0.65">
      <c r="A17">
        <f t="shared" si="0"/>
        <v>16</v>
      </c>
      <c r="B17" s="8" t="s">
        <v>27</v>
      </c>
      <c r="C17" s="1">
        <v>0</v>
      </c>
      <c r="D17" s="1">
        <v>0</v>
      </c>
      <c r="E17" s="1" t="s">
        <v>182</v>
      </c>
      <c r="F17" s="1" t="s">
        <v>11</v>
      </c>
      <c r="G17" s="1">
        <v>23</v>
      </c>
      <c r="H17">
        <v>1</v>
      </c>
      <c r="N17" s="1" t="s">
        <v>12</v>
      </c>
    </row>
    <row r="18" spans="1:15" x14ac:dyDescent="0.65">
      <c r="A18">
        <f t="shared" si="0"/>
        <v>17</v>
      </c>
      <c r="B18" s="8" t="s">
        <v>28</v>
      </c>
      <c r="C18" s="1">
        <v>1</v>
      </c>
      <c r="D18" s="1">
        <v>0</v>
      </c>
      <c r="E18" s="1" t="s">
        <v>182</v>
      </c>
      <c r="F18" s="1" t="s">
        <v>11</v>
      </c>
      <c r="G18" s="1">
        <v>20</v>
      </c>
      <c r="H18">
        <v>1</v>
      </c>
      <c r="N18" s="1" t="s">
        <v>12</v>
      </c>
      <c r="O18" s="1" t="s">
        <v>253</v>
      </c>
    </row>
    <row r="19" spans="1:15" x14ac:dyDescent="0.65">
      <c r="A19">
        <f t="shared" si="0"/>
        <v>18</v>
      </c>
      <c r="B19" s="8" t="s">
        <v>29</v>
      </c>
      <c r="C19" s="1">
        <v>0</v>
      </c>
      <c r="D19" s="1">
        <v>0</v>
      </c>
      <c r="E19" s="1" t="s">
        <v>182</v>
      </c>
      <c r="F19" s="1" t="s">
        <v>11</v>
      </c>
      <c r="G19" s="2">
        <v>19</v>
      </c>
      <c r="H19">
        <v>1</v>
      </c>
      <c r="N19" s="1" t="s">
        <v>12</v>
      </c>
    </row>
    <row r="20" spans="1:15" x14ac:dyDescent="0.65">
      <c r="A20">
        <f t="shared" si="0"/>
        <v>19</v>
      </c>
      <c r="B20" s="8" t="s">
        <v>30</v>
      </c>
      <c r="C20" s="1">
        <v>1</v>
      </c>
      <c r="D20" s="1">
        <v>0</v>
      </c>
      <c r="E20" s="1" t="s">
        <v>182</v>
      </c>
      <c r="F20" s="1" t="s">
        <v>11</v>
      </c>
      <c r="G20" s="1">
        <v>49</v>
      </c>
      <c r="H20">
        <v>1</v>
      </c>
      <c r="N20" s="1" t="s">
        <v>12</v>
      </c>
    </row>
    <row r="21" spans="1:15" x14ac:dyDescent="0.65">
      <c r="A21">
        <f t="shared" si="0"/>
        <v>20</v>
      </c>
      <c r="B21" s="8" t="s">
        <v>31</v>
      </c>
      <c r="C21" s="1">
        <v>1</v>
      </c>
      <c r="D21" s="1">
        <v>0</v>
      </c>
      <c r="E21" s="1" t="s">
        <v>182</v>
      </c>
      <c r="F21" s="1" t="s">
        <v>11</v>
      </c>
      <c r="G21" s="1">
        <v>45</v>
      </c>
      <c r="H21">
        <v>1</v>
      </c>
      <c r="N21" s="1" t="s">
        <v>12</v>
      </c>
    </row>
    <row r="22" spans="1:15" x14ac:dyDescent="0.65">
      <c r="A22">
        <f t="shared" si="0"/>
        <v>21</v>
      </c>
      <c r="B22" s="8" t="s">
        <v>32</v>
      </c>
      <c r="C22" s="1">
        <v>0</v>
      </c>
      <c r="D22" s="1">
        <v>0</v>
      </c>
      <c r="E22" s="1" t="s">
        <v>182</v>
      </c>
      <c r="F22" s="1" t="s">
        <v>11</v>
      </c>
      <c r="G22" s="1">
        <v>38</v>
      </c>
      <c r="H22">
        <v>1</v>
      </c>
      <c r="N22" s="1" t="s">
        <v>12</v>
      </c>
    </row>
    <row r="23" spans="1:15" x14ac:dyDescent="0.65">
      <c r="A23">
        <f t="shared" si="0"/>
        <v>22</v>
      </c>
      <c r="B23" s="8" t="s">
        <v>33</v>
      </c>
      <c r="C23" s="1">
        <v>1</v>
      </c>
      <c r="D23" s="1">
        <v>0</v>
      </c>
      <c r="E23" s="1" t="s">
        <v>185</v>
      </c>
      <c r="F23" s="1" t="s">
        <v>11</v>
      </c>
      <c r="G23" s="1">
        <v>52</v>
      </c>
      <c r="H23">
        <v>1</v>
      </c>
      <c r="N23" s="1" t="s">
        <v>12</v>
      </c>
      <c r="O23" s="1" t="s">
        <v>253</v>
      </c>
    </row>
    <row r="24" spans="1:15" x14ac:dyDescent="0.65">
      <c r="A24">
        <f t="shared" si="0"/>
        <v>23</v>
      </c>
      <c r="B24" s="8" t="s">
        <v>34</v>
      </c>
      <c r="C24" s="1">
        <v>1</v>
      </c>
      <c r="D24" s="1">
        <v>0</v>
      </c>
      <c r="E24" s="1" t="s">
        <v>185</v>
      </c>
      <c r="F24" s="1" t="s">
        <v>11</v>
      </c>
      <c r="G24" s="1">
        <v>32</v>
      </c>
      <c r="H24">
        <v>1</v>
      </c>
      <c r="N24" s="1" t="s">
        <v>12</v>
      </c>
    </row>
    <row r="25" spans="1:15" x14ac:dyDescent="0.65">
      <c r="A25">
        <f t="shared" si="0"/>
        <v>24</v>
      </c>
      <c r="B25" s="8" t="s">
        <v>35</v>
      </c>
      <c r="C25" s="1">
        <v>1</v>
      </c>
      <c r="D25" s="1">
        <v>0</v>
      </c>
      <c r="E25" s="1" t="s">
        <v>185</v>
      </c>
      <c r="F25" s="1" t="s">
        <v>11</v>
      </c>
      <c r="G25" s="1">
        <v>49</v>
      </c>
      <c r="H25">
        <v>1</v>
      </c>
      <c r="N25" s="1" t="s">
        <v>12</v>
      </c>
    </row>
    <row r="26" spans="1:15" x14ac:dyDescent="0.65">
      <c r="A26">
        <f t="shared" si="0"/>
        <v>25</v>
      </c>
      <c r="B26" s="8" t="s">
        <v>36</v>
      </c>
      <c r="C26" s="1">
        <v>1</v>
      </c>
      <c r="D26" s="1">
        <v>0</v>
      </c>
      <c r="E26" s="1" t="s">
        <v>185</v>
      </c>
      <c r="F26" s="1" t="s">
        <v>11</v>
      </c>
      <c r="G26" s="1">
        <v>35</v>
      </c>
      <c r="H26">
        <v>1</v>
      </c>
      <c r="N26" s="1" t="s">
        <v>12</v>
      </c>
    </row>
    <row r="27" spans="1:15" x14ac:dyDescent="0.65">
      <c r="A27">
        <f t="shared" si="0"/>
        <v>26</v>
      </c>
      <c r="B27" s="8" t="s">
        <v>37</v>
      </c>
      <c r="C27" s="1">
        <v>1</v>
      </c>
      <c r="D27" s="1">
        <v>0</v>
      </c>
      <c r="E27" s="1" t="s">
        <v>185</v>
      </c>
      <c r="F27" s="1" t="s">
        <v>11</v>
      </c>
      <c r="G27" s="1">
        <v>25</v>
      </c>
      <c r="H27">
        <v>1</v>
      </c>
      <c r="N27" s="1" t="s">
        <v>12</v>
      </c>
    </row>
    <row r="28" spans="1:15" x14ac:dyDescent="0.65">
      <c r="A28">
        <f t="shared" si="0"/>
        <v>27</v>
      </c>
      <c r="B28" s="8" t="s">
        <v>38</v>
      </c>
      <c r="C28" s="1">
        <v>1</v>
      </c>
      <c r="D28" s="1">
        <v>0</v>
      </c>
      <c r="E28" s="1" t="s">
        <v>185</v>
      </c>
      <c r="F28" s="1" t="s">
        <v>11</v>
      </c>
      <c r="G28" s="1">
        <v>44</v>
      </c>
      <c r="H28">
        <v>1</v>
      </c>
      <c r="N28" s="1" t="s">
        <v>12</v>
      </c>
    </row>
    <row r="29" spans="1:15" x14ac:dyDescent="0.65">
      <c r="A29">
        <f t="shared" si="0"/>
        <v>28</v>
      </c>
      <c r="B29" s="10" t="s">
        <v>39</v>
      </c>
      <c r="C29" s="2">
        <v>1</v>
      </c>
      <c r="D29" s="1">
        <v>0</v>
      </c>
      <c r="E29" s="1" t="s">
        <v>185</v>
      </c>
      <c r="F29" s="1" t="s">
        <v>11</v>
      </c>
      <c r="G29" s="1">
        <v>58</v>
      </c>
      <c r="H29">
        <v>1</v>
      </c>
      <c r="N29" s="1" t="s">
        <v>12</v>
      </c>
    </row>
    <row r="30" spans="1:15" x14ac:dyDescent="0.65">
      <c r="A30">
        <f t="shared" si="0"/>
        <v>29</v>
      </c>
      <c r="B30" s="8" t="s">
        <v>40</v>
      </c>
      <c r="C30" s="1">
        <v>1</v>
      </c>
      <c r="D30" s="1">
        <v>0</v>
      </c>
      <c r="E30" s="1" t="s">
        <v>185</v>
      </c>
      <c r="F30" s="1" t="s">
        <v>11</v>
      </c>
      <c r="G30" s="1">
        <v>29</v>
      </c>
      <c r="H30">
        <v>1</v>
      </c>
      <c r="N30" s="1" t="s">
        <v>12</v>
      </c>
    </row>
    <row r="31" spans="1:15" x14ac:dyDescent="0.65">
      <c r="A31">
        <f t="shared" si="0"/>
        <v>30</v>
      </c>
      <c r="B31" s="8" t="s">
        <v>41</v>
      </c>
      <c r="C31" s="1">
        <v>1</v>
      </c>
      <c r="D31" s="1">
        <v>0</v>
      </c>
      <c r="E31" s="1" t="s">
        <v>185</v>
      </c>
      <c r="F31" s="1" t="s">
        <v>11</v>
      </c>
      <c r="G31" s="1">
        <v>29</v>
      </c>
      <c r="H31">
        <v>1</v>
      </c>
      <c r="N31" s="1" t="s">
        <v>12</v>
      </c>
    </row>
    <row r="32" spans="1:15" x14ac:dyDescent="0.65">
      <c r="A32">
        <f t="shared" si="0"/>
        <v>31</v>
      </c>
      <c r="B32" s="8" t="s">
        <v>42</v>
      </c>
      <c r="C32" s="1">
        <v>1</v>
      </c>
      <c r="D32" s="1">
        <v>0</v>
      </c>
      <c r="E32" s="1" t="s">
        <v>185</v>
      </c>
      <c r="F32" s="1" t="s">
        <v>11</v>
      </c>
      <c r="G32" s="1">
        <v>30</v>
      </c>
      <c r="H32">
        <v>1</v>
      </c>
      <c r="N32" s="1" t="s">
        <v>12</v>
      </c>
    </row>
    <row r="33" spans="1:15" x14ac:dyDescent="0.65">
      <c r="A33">
        <f t="shared" si="0"/>
        <v>32</v>
      </c>
      <c r="B33" s="8" t="s">
        <v>43</v>
      </c>
      <c r="C33" s="1">
        <v>1</v>
      </c>
      <c r="D33" s="1">
        <v>0</v>
      </c>
      <c r="E33" s="1" t="s">
        <v>185</v>
      </c>
      <c r="F33" s="1" t="s">
        <v>11</v>
      </c>
      <c r="G33" s="1">
        <v>42</v>
      </c>
      <c r="H33">
        <v>1</v>
      </c>
      <c r="N33" s="1" t="s">
        <v>12</v>
      </c>
    </row>
    <row r="34" spans="1:15" x14ac:dyDescent="0.65">
      <c r="A34">
        <f t="shared" si="0"/>
        <v>33</v>
      </c>
      <c r="B34" s="8" t="s">
        <v>44</v>
      </c>
      <c r="C34" s="1">
        <v>0</v>
      </c>
      <c r="D34" s="1">
        <v>0</v>
      </c>
      <c r="E34" s="1" t="s">
        <v>185</v>
      </c>
      <c r="F34" s="1" t="s">
        <v>11</v>
      </c>
      <c r="G34" s="1">
        <v>33</v>
      </c>
      <c r="H34">
        <v>1</v>
      </c>
      <c r="N34" s="1" t="s">
        <v>12</v>
      </c>
    </row>
    <row r="35" spans="1:15" x14ac:dyDescent="0.65">
      <c r="A35">
        <f t="shared" si="0"/>
        <v>34</v>
      </c>
      <c r="B35" s="8" t="s">
        <v>45</v>
      </c>
      <c r="C35" s="1">
        <v>0</v>
      </c>
      <c r="D35" s="1">
        <v>0</v>
      </c>
      <c r="E35" s="1" t="s">
        <v>185</v>
      </c>
      <c r="F35" s="1" t="s">
        <v>11</v>
      </c>
      <c r="G35" s="1">
        <v>67</v>
      </c>
      <c r="H35">
        <v>1</v>
      </c>
      <c r="N35" s="1" t="s">
        <v>12</v>
      </c>
    </row>
    <row r="36" spans="1:15" x14ac:dyDescent="0.65">
      <c r="A36">
        <f t="shared" si="0"/>
        <v>35</v>
      </c>
      <c r="B36" s="8" t="s">
        <v>46</v>
      </c>
      <c r="C36" s="1">
        <v>1</v>
      </c>
      <c r="D36" s="1">
        <v>0</v>
      </c>
      <c r="E36" s="1" t="s">
        <v>185</v>
      </c>
      <c r="F36" s="1" t="s">
        <v>11</v>
      </c>
      <c r="G36" s="1">
        <v>76</v>
      </c>
      <c r="H36">
        <v>1</v>
      </c>
      <c r="N36" s="1" t="s">
        <v>12</v>
      </c>
    </row>
    <row r="37" spans="1:15" x14ac:dyDescent="0.65">
      <c r="A37">
        <f t="shared" si="0"/>
        <v>36</v>
      </c>
      <c r="B37" s="10" t="s">
        <v>47</v>
      </c>
      <c r="C37" s="1">
        <v>0</v>
      </c>
      <c r="D37" s="1">
        <v>0</v>
      </c>
      <c r="E37" s="1" t="s">
        <v>185</v>
      </c>
      <c r="F37" s="1" t="s">
        <v>11</v>
      </c>
      <c r="G37" s="1">
        <v>46</v>
      </c>
      <c r="H37">
        <v>1</v>
      </c>
      <c r="N37" s="1" t="s">
        <v>12</v>
      </c>
    </row>
    <row r="38" spans="1:15" x14ac:dyDescent="0.65">
      <c r="A38">
        <f t="shared" si="0"/>
        <v>37</v>
      </c>
      <c r="B38" s="8" t="s">
        <v>48</v>
      </c>
      <c r="C38" s="1">
        <v>1</v>
      </c>
      <c r="D38" s="1">
        <v>0</v>
      </c>
      <c r="E38" s="1" t="s">
        <v>185</v>
      </c>
      <c r="F38" s="1" t="s">
        <v>11</v>
      </c>
      <c r="G38" s="1">
        <v>25</v>
      </c>
      <c r="H38">
        <v>1</v>
      </c>
      <c r="N38" s="1" t="s">
        <v>12</v>
      </c>
      <c r="O38" s="1" t="s">
        <v>253</v>
      </c>
    </row>
    <row r="39" spans="1:15" x14ac:dyDescent="0.65">
      <c r="A39">
        <f t="shared" si="0"/>
        <v>38</v>
      </c>
      <c r="B39" s="8" t="s">
        <v>49</v>
      </c>
      <c r="C39" s="1">
        <v>1</v>
      </c>
      <c r="D39" s="1">
        <v>0</v>
      </c>
      <c r="E39" s="1" t="s">
        <v>185</v>
      </c>
      <c r="F39" s="1" t="s">
        <v>11</v>
      </c>
      <c r="G39" s="1">
        <v>27</v>
      </c>
      <c r="H39">
        <v>1</v>
      </c>
      <c r="N39" s="1" t="s">
        <v>12</v>
      </c>
    </row>
    <row r="40" spans="1:15" x14ac:dyDescent="0.65">
      <c r="A40">
        <f t="shared" si="0"/>
        <v>39</v>
      </c>
      <c r="B40" s="8" t="s">
        <v>50</v>
      </c>
      <c r="C40" s="1">
        <v>1</v>
      </c>
      <c r="D40" s="1">
        <v>0</v>
      </c>
      <c r="E40" s="1" t="s">
        <v>186</v>
      </c>
      <c r="F40" s="1" t="s">
        <v>11</v>
      </c>
      <c r="G40" s="1">
        <v>20</v>
      </c>
      <c r="H40">
        <v>1</v>
      </c>
      <c r="N40" s="1" t="s">
        <v>12</v>
      </c>
    </row>
    <row r="41" spans="1:15" x14ac:dyDescent="0.65">
      <c r="A41">
        <f t="shared" si="0"/>
        <v>40</v>
      </c>
      <c r="B41" s="8" t="s">
        <v>51</v>
      </c>
      <c r="C41" s="1">
        <v>1</v>
      </c>
      <c r="D41" s="1">
        <v>1</v>
      </c>
      <c r="E41" s="1" t="s">
        <v>186</v>
      </c>
      <c r="F41" s="1" t="s">
        <v>11</v>
      </c>
      <c r="G41" s="1">
        <v>16</v>
      </c>
      <c r="H41">
        <v>1</v>
      </c>
      <c r="N41" s="1" t="s">
        <v>12</v>
      </c>
    </row>
    <row r="42" spans="1:15" x14ac:dyDescent="0.65">
      <c r="A42">
        <f t="shared" si="0"/>
        <v>41</v>
      </c>
      <c r="B42" s="8" t="s">
        <v>52</v>
      </c>
      <c r="C42" s="1">
        <v>1</v>
      </c>
      <c r="D42" s="1">
        <v>0</v>
      </c>
      <c r="E42" s="1" t="s">
        <v>186</v>
      </c>
      <c r="F42" s="1" t="s">
        <v>11</v>
      </c>
      <c r="G42" s="1">
        <v>39</v>
      </c>
      <c r="H42">
        <v>1</v>
      </c>
      <c r="N42" s="1" t="s">
        <v>12</v>
      </c>
    </row>
    <row r="43" spans="1:15" x14ac:dyDescent="0.65">
      <c r="A43">
        <f t="shared" si="0"/>
        <v>42</v>
      </c>
      <c r="B43" s="8" t="s">
        <v>53</v>
      </c>
      <c r="C43" s="1">
        <v>0</v>
      </c>
      <c r="D43" s="1">
        <v>0</v>
      </c>
      <c r="E43" s="1" t="s">
        <v>186</v>
      </c>
      <c r="F43" s="1" t="s">
        <v>11</v>
      </c>
      <c r="G43" s="1">
        <v>48</v>
      </c>
      <c r="H43">
        <v>1</v>
      </c>
      <c r="N43" s="1" t="s">
        <v>12</v>
      </c>
    </row>
    <row r="44" spans="1:15" x14ac:dyDescent="0.65">
      <c r="A44">
        <f t="shared" si="0"/>
        <v>43</v>
      </c>
      <c r="B44" s="8" t="s">
        <v>54</v>
      </c>
      <c r="C44" s="1">
        <v>1</v>
      </c>
      <c r="D44" s="1">
        <v>0</v>
      </c>
      <c r="E44" s="1" t="s">
        <v>186</v>
      </c>
      <c r="F44" s="1" t="s">
        <v>11</v>
      </c>
      <c r="G44" s="1">
        <v>58</v>
      </c>
      <c r="H44">
        <v>1</v>
      </c>
      <c r="N44" s="1" t="s">
        <v>12</v>
      </c>
    </row>
    <row r="45" spans="1:15" x14ac:dyDescent="0.65">
      <c r="A45">
        <f t="shared" si="0"/>
        <v>44</v>
      </c>
      <c r="B45" s="8" t="s">
        <v>55</v>
      </c>
      <c r="C45" s="1">
        <v>1</v>
      </c>
      <c r="D45" s="1">
        <v>0</v>
      </c>
      <c r="E45" s="1" t="s">
        <v>186</v>
      </c>
      <c r="F45" s="1" t="s">
        <v>11</v>
      </c>
      <c r="G45" s="1">
        <v>43</v>
      </c>
      <c r="H45">
        <v>1</v>
      </c>
      <c r="N45" s="1" t="s">
        <v>12</v>
      </c>
    </row>
    <row r="46" spans="1:15" x14ac:dyDescent="0.65">
      <c r="A46">
        <f t="shared" si="0"/>
        <v>45</v>
      </c>
      <c r="B46" s="8" t="s">
        <v>56</v>
      </c>
      <c r="C46" s="1">
        <v>1</v>
      </c>
      <c r="D46" s="1">
        <v>0</v>
      </c>
      <c r="E46" s="1" t="s">
        <v>187</v>
      </c>
      <c r="F46" s="1" t="s">
        <v>11</v>
      </c>
      <c r="G46" s="1">
        <v>43</v>
      </c>
      <c r="H46">
        <v>1</v>
      </c>
      <c r="N46" s="1" t="s">
        <v>12</v>
      </c>
    </row>
    <row r="47" spans="1:15" x14ac:dyDescent="0.65">
      <c r="A47">
        <f t="shared" si="0"/>
        <v>46</v>
      </c>
      <c r="B47" s="8" t="s">
        <v>57</v>
      </c>
      <c r="C47" s="1">
        <v>1</v>
      </c>
      <c r="D47" s="1">
        <v>0</v>
      </c>
      <c r="E47" s="1" t="s">
        <v>187</v>
      </c>
      <c r="F47" s="1" t="s">
        <v>11</v>
      </c>
      <c r="G47" s="1">
        <v>20</v>
      </c>
      <c r="H47">
        <v>1</v>
      </c>
      <c r="N47" s="1" t="s">
        <v>12</v>
      </c>
    </row>
    <row r="48" spans="1:15" x14ac:dyDescent="0.65">
      <c r="A48">
        <f t="shared" si="0"/>
        <v>47</v>
      </c>
      <c r="B48" s="8" t="s">
        <v>58</v>
      </c>
      <c r="C48" s="1">
        <v>1</v>
      </c>
      <c r="D48" s="1">
        <v>0</v>
      </c>
      <c r="E48" s="1" t="s">
        <v>187</v>
      </c>
      <c r="F48" s="1" t="s">
        <v>11</v>
      </c>
      <c r="G48" s="1">
        <v>34</v>
      </c>
      <c r="H48">
        <v>1</v>
      </c>
      <c r="N48" s="1" t="s">
        <v>12</v>
      </c>
    </row>
    <row r="49" spans="1:15" x14ac:dyDescent="0.65">
      <c r="A49">
        <f t="shared" si="0"/>
        <v>48</v>
      </c>
      <c r="B49" s="10" t="s">
        <v>59</v>
      </c>
      <c r="C49" s="1">
        <v>0</v>
      </c>
      <c r="D49" s="1">
        <v>0</v>
      </c>
      <c r="E49" s="1" t="s">
        <v>187</v>
      </c>
      <c r="F49" s="1" t="s">
        <v>11</v>
      </c>
      <c r="G49" s="1">
        <v>49</v>
      </c>
      <c r="H49">
        <v>1</v>
      </c>
      <c r="N49" s="1" t="s">
        <v>12</v>
      </c>
      <c r="O49" s="1" t="s">
        <v>253</v>
      </c>
    </row>
    <row r="50" spans="1:15" x14ac:dyDescent="0.65">
      <c r="A50">
        <f t="shared" si="0"/>
        <v>49</v>
      </c>
      <c r="B50" s="8" t="s">
        <v>60</v>
      </c>
      <c r="C50" s="1">
        <v>1</v>
      </c>
      <c r="D50" s="1">
        <v>0</v>
      </c>
      <c r="E50" s="1" t="s">
        <v>187</v>
      </c>
      <c r="F50" s="1" t="s">
        <v>11</v>
      </c>
      <c r="G50" s="1">
        <v>35</v>
      </c>
      <c r="H50">
        <v>1</v>
      </c>
      <c r="N50" s="1" t="s">
        <v>12</v>
      </c>
    </row>
    <row r="51" spans="1:15" x14ac:dyDescent="0.65">
      <c r="A51">
        <f t="shared" si="0"/>
        <v>50</v>
      </c>
      <c r="B51" s="8" t="s">
        <v>61</v>
      </c>
      <c r="C51" s="1">
        <v>1</v>
      </c>
      <c r="D51" s="1">
        <v>0</v>
      </c>
      <c r="E51" s="1" t="s">
        <v>187</v>
      </c>
      <c r="F51" s="1" t="s">
        <v>11</v>
      </c>
      <c r="G51" s="1">
        <v>52</v>
      </c>
      <c r="H51">
        <v>1</v>
      </c>
      <c r="N51" s="1" t="s">
        <v>12</v>
      </c>
    </row>
    <row r="52" spans="1:15" x14ac:dyDescent="0.65">
      <c r="A52">
        <f t="shared" si="0"/>
        <v>51</v>
      </c>
      <c r="B52" s="8" t="s">
        <v>62</v>
      </c>
      <c r="C52" s="1">
        <v>1</v>
      </c>
      <c r="D52" s="1">
        <v>0</v>
      </c>
      <c r="E52" s="1" t="s">
        <v>177</v>
      </c>
      <c r="F52" s="1" t="s">
        <v>11</v>
      </c>
      <c r="G52" s="1">
        <v>30</v>
      </c>
      <c r="H52">
        <v>1</v>
      </c>
      <c r="N52" s="1" t="s">
        <v>12</v>
      </c>
    </row>
    <row r="53" spans="1:15" x14ac:dyDescent="0.65">
      <c r="A53">
        <f t="shared" si="0"/>
        <v>52</v>
      </c>
      <c r="B53" s="8" t="s">
        <v>63</v>
      </c>
      <c r="C53" s="1">
        <v>1</v>
      </c>
      <c r="D53" s="1">
        <v>0</v>
      </c>
      <c r="E53" s="1" t="s">
        <v>177</v>
      </c>
      <c r="F53" s="1" t="s">
        <v>11</v>
      </c>
      <c r="G53" s="1">
        <v>44</v>
      </c>
      <c r="H53">
        <v>1</v>
      </c>
      <c r="N53" s="1" t="s">
        <v>12</v>
      </c>
    </row>
    <row r="54" spans="1:15" x14ac:dyDescent="0.65">
      <c r="A54">
        <f t="shared" si="0"/>
        <v>53</v>
      </c>
      <c r="B54" s="10" t="s">
        <v>64</v>
      </c>
      <c r="C54" s="1">
        <v>1</v>
      </c>
      <c r="D54" s="1">
        <v>0</v>
      </c>
      <c r="E54" s="1" t="s">
        <v>177</v>
      </c>
      <c r="F54" s="1" t="s">
        <v>11</v>
      </c>
      <c r="G54" s="1">
        <v>39</v>
      </c>
      <c r="H54">
        <v>1</v>
      </c>
      <c r="N54" s="1" t="s">
        <v>12</v>
      </c>
    </row>
    <row r="55" spans="1:15" x14ac:dyDescent="0.65">
      <c r="A55">
        <f t="shared" si="0"/>
        <v>54</v>
      </c>
      <c r="B55" s="8" t="s">
        <v>65</v>
      </c>
      <c r="C55" s="1">
        <v>0</v>
      </c>
      <c r="D55" s="1">
        <v>0</v>
      </c>
      <c r="E55" s="1" t="s">
        <v>177</v>
      </c>
      <c r="F55" s="1" t="s">
        <v>11</v>
      </c>
      <c r="G55" s="1">
        <v>38</v>
      </c>
      <c r="H55">
        <v>1</v>
      </c>
      <c r="N55" s="1" t="s">
        <v>12</v>
      </c>
    </row>
    <row r="56" spans="1:15" x14ac:dyDescent="0.65">
      <c r="A56">
        <f t="shared" si="0"/>
        <v>55</v>
      </c>
      <c r="B56" s="8" t="s">
        <v>66</v>
      </c>
      <c r="C56" s="1">
        <v>1</v>
      </c>
      <c r="D56" s="1">
        <v>0</v>
      </c>
      <c r="E56" s="1" t="s">
        <v>188</v>
      </c>
      <c r="F56" s="1" t="s">
        <v>11</v>
      </c>
      <c r="G56" s="1">
        <v>42</v>
      </c>
      <c r="H56">
        <v>1</v>
      </c>
      <c r="N56" s="1" t="s">
        <v>12</v>
      </c>
    </row>
    <row r="57" spans="1:15" x14ac:dyDescent="0.65">
      <c r="A57">
        <f t="shared" si="0"/>
        <v>56</v>
      </c>
      <c r="B57" s="8" t="s">
        <v>67</v>
      </c>
      <c r="C57" s="1">
        <v>1</v>
      </c>
      <c r="D57" s="1">
        <v>0</v>
      </c>
      <c r="E57" s="1" t="s">
        <v>188</v>
      </c>
      <c r="F57" s="1" t="s">
        <v>68</v>
      </c>
      <c r="G57" s="1">
        <v>23</v>
      </c>
      <c r="H57">
        <v>1</v>
      </c>
      <c r="N57" s="1" t="s">
        <v>12</v>
      </c>
    </row>
    <row r="58" spans="1:15" x14ac:dyDescent="0.65">
      <c r="A58">
        <f t="shared" si="0"/>
        <v>57</v>
      </c>
      <c r="B58" s="8" t="s">
        <v>69</v>
      </c>
      <c r="C58" s="1">
        <v>0</v>
      </c>
      <c r="D58" s="1">
        <v>0</v>
      </c>
      <c r="E58" s="1" t="s">
        <v>188</v>
      </c>
      <c r="F58" s="1" t="s">
        <v>11</v>
      </c>
      <c r="G58" s="1">
        <v>40</v>
      </c>
      <c r="H58">
        <v>1</v>
      </c>
      <c r="N58" s="1" t="s">
        <v>12</v>
      </c>
    </row>
    <row r="59" spans="1:15" x14ac:dyDescent="0.65">
      <c r="A59">
        <f t="shared" si="0"/>
        <v>58</v>
      </c>
      <c r="B59" s="8" t="s">
        <v>70</v>
      </c>
      <c r="C59" s="1">
        <v>1</v>
      </c>
      <c r="D59" s="1">
        <v>0</v>
      </c>
      <c r="E59" s="1" t="s">
        <v>188</v>
      </c>
      <c r="F59" s="1" t="s">
        <v>11</v>
      </c>
      <c r="G59" s="1">
        <v>34</v>
      </c>
      <c r="H59">
        <v>1</v>
      </c>
      <c r="N59" s="1" t="s">
        <v>12</v>
      </c>
    </row>
    <row r="60" spans="1:15" x14ac:dyDescent="0.65">
      <c r="A60">
        <f t="shared" si="0"/>
        <v>59</v>
      </c>
      <c r="B60" s="8" t="s">
        <v>71</v>
      </c>
      <c r="C60" s="1">
        <v>1</v>
      </c>
      <c r="D60" s="1">
        <v>0</v>
      </c>
      <c r="E60" s="1" t="s">
        <v>189</v>
      </c>
      <c r="F60" s="1" t="s">
        <v>11</v>
      </c>
      <c r="G60" s="1">
        <v>38</v>
      </c>
      <c r="H60">
        <v>1</v>
      </c>
      <c r="N60" s="1" t="s">
        <v>12</v>
      </c>
    </row>
    <row r="61" spans="1:15" x14ac:dyDescent="0.65">
      <c r="A61">
        <f t="shared" si="0"/>
        <v>60</v>
      </c>
      <c r="B61" s="8" t="s">
        <v>14</v>
      </c>
      <c r="C61" s="1">
        <v>1</v>
      </c>
      <c r="D61" s="1">
        <v>0</v>
      </c>
      <c r="E61" s="1" t="s">
        <v>189</v>
      </c>
      <c r="F61" s="1" t="s">
        <v>11</v>
      </c>
      <c r="G61" s="1">
        <v>39</v>
      </c>
      <c r="I61">
        <v>1</v>
      </c>
      <c r="N61" s="1" t="s">
        <v>12</v>
      </c>
    </row>
    <row r="62" spans="1:15" x14ac:dyDescent="0.65">
      <c r="A62">
        <f t="shared" si="0"/>
        <v>61</v>
      </c>
      <c r="B62" s="8" t="s">
        <v>25</v>
      </c>
      <c r="C62" s="1">
        <v>1</v>
      </c>
      <c r="D62" s="1">
        <v>0</v>
      </c>
      <c r="E62" s="1" t="s">
        <v>190</v>
      </c>
      <c r="F62" s="1" t="s">
        <v>11</v>
      </c>
      <c r="G62" s="1">
        <v>40</v>
      </c>
      <c r="I62">
        <v>1</v>
      </c>
      <c r="N62" s="1" t="s">
        <v>12</v>
      </c>
    </row>
    <row r="63" spans="1:15" x14ac:dyDescent="0.65">
      <c r="A63">
        <f t="shared" si="0"/>
        <v>62</v>
      </c>
      <c r="B63" s="8" t="s">
        <v>36</v>
      </c>
      <c r="C63" s="1">
        <v>1</v>
      </c>
      <c r="D63" s="1">
        <v>0</v>
      </c>
      <c r="E63" s="1" t="s">
        <v>190</v>
      </c>
      <c r="F63" s="1" t="s">
        <v>11</v>
      </c>
      <c r="G63" s="1">
        <v>35</v>
      </c>
      <c r="I63">
        <v>1</v>
      </c>
      <c r="N63" s="1" t="s">
        <v>12</v>
      </c>
    </row>
    <row r="64" spans="1:15" x14ac:dyDescent="0.65">
      <c r="A64">
        <f t="shared" si="0"/>
        <v>63</v>
      </c>
      <c r="B64" s="8" t="s">
        <v>49</v>
      </c>
      <c r="C64" s="1">
        <v>1</v>
      </c>
      <c r="D64" s="1">
        <v>0</v>
      </c>
      <c r="E64" s="1" t="s">
        <v>191</v>
      </c>
      <c r="F64" s="1" t="s">
        <v>11</v>
      </c>
      <c r="G64" s="1">
        <v>27</v>
      </c>
      <c r="I64">
        <v>1</v>
      </c>
      <c r="N64" s="1" t="s">
        <v>12</v>
      </c>
    </row>
    <row r="65" spans="1:15" x14ac:dyDescent="0.65">
      <c r="A65">
        <f t="shared" si="0"/>
        <v>64</v>
      </c>
      <c r="B65" s="8" t="s">
        <v>61</v>
      </c>
      <c r="C65" s="1">
        <v>1</v>
      </c>
      <c r="D65" s="1">
        <v>0</v>
      </c>
      <c r="E65" s="1" t="s">
        <v>191</v>
      </c>
      <c r="F65" s="1" t="s">
        <v>11</v>
      </c>
      <c r="G65" s="1">
        <v>52</v>
      </c>
      <c r="I65">
        <v>1</v>
      </c>
      <c r="N65" s="1" t="s">
        <v>12</v>
      </c>
    </row>
    <row r="66" spans="1:15" x14ac:dyDescent="0.65">
      <c r="A66">
        <f t="shared" si="0"/>
        <v>65</v>
      </c>
      <c r="B66" s="8" t="s">
        <v>72</v>
      </c>
      <c r="C66" s="1">
        <v>1</v>
      </c>
      <c r="D66" s="1">
        <v>0</v>
      </c>
      <c r="E66" s="1" t="s">
        <v>185</v>
      </c>
      <c r="F66" s="1" t="s">
        <v>11</v>
      </c>
      <c r="G66" s="1">
        <v>31</v>
      </c>
      <c r="H66">
        <v>1</v>
      </c>
      <c r="N66" s="1" t="s">
        <v>73</v>
      </c>
    </row>
    <row r="67" spans="1:15" x14ac:dyDescent="0.65">
      <c r="A67">
        <f t="shared" ref="A67:A130" si="1">ROW(A66)</f>
        <v>66</v>
      </c>
      <c r="B67" s="8" t="s">
        <v>74</v>
      </c>
      <c r="C67" s="1">
        <v>0</v>
      </c>
      <c r="D67" s="1">
        <v>0</v>
      </c>
      <c r="E67" s="1" t="s">
        <v>185</v>
      </c>
      <c r="F67" s="1" t="s">
        <v>11</v>
      </c>
      <c r="G67" s="1">
        <v>44</v>
      </c>
      <c r="H67">
        <v>1</v>
      </c>
      <c r="N67" s="1" t="s">
        <v>73</v>
      </c>
    </row>
    <row r="68" spans="1:15" x14ac:dyDescent="0.65">
      <c r="A68">
        <f t="shared" si="1"/>
        <v>67</v>
      </c>
      <c r="B68" s="8" t="s">
        <v>75</v>
      </c>
      <c r="C68" s="1">
        <v>1</v>
      </c>
      <c r="D68" s="1">
        <v>0</v>
      </c>
      <c r="E68" s="1" t="s">
        <v>185</v>
      </c>
      <c r="F68" s="1" t="s">
        <v>11</v>
      </c>
      <c r="G68" s="1">
        <v>53</v>
      </c>
      <c r="H68">
        <v>1</v>
      </c>
      <c r="N68" s="1" t="s">
        <v>73</v>
      </c>
    </row>
    <row r="69" spans="1:15" x14ac:dyDescent="0.65">
      <c r="A69">
        <f t="shared" si="1"/>
        <v>68</v>
      </c>
      <c r="B69" s="8" t="s">
        <v>76</v>
      </c>
      <c r="C69" s="1">
        <v>1</v>
      </c>
      <c r="D69" s="1">
        <v>0</v>
      </c>
      <c r="E69" s="1" t="s">
        <v>185</v>
      </c>
      <c r="F69" s="1" t="s">
        <v>11</v>
      </c>
      <c r="G69" s="1">
        <v>31</v>
      </c>
      <c r="H69">
        <v>1</v>
      </c>
      <c r="N69" s="1" t="s">
        <v>73</v>
      </c>
    </row>
    <row r="70" spans="1:15" x14ac:dyDescent="0.65">
      <c r="A70">
        <f t="shared" si="1"/>
        <v>69</v>
      </c>
      <c r="B70" s="8" t="s">
        <v>77</v>
      </c>
      <c r="C70" s="1">
        <v>1</v>
      </c>
      <c r="D70" s="1">
        <v>0</v>
      </c>
      <c r="E70" s="1" t="s">
        <v>185</v>
      </c>
      <c r="F70" s="1" t="s">
        <v>11</v>
      </c>
      <c r="G70" s="1">
        <v>27</v>
      </c>
      <c r="H70">
        <v>1</v>
      </c>
      <c r="N70" s="1" t="s">
        <v>73</v>
      </c>
    </row>
    <row r="71" spans="1:15" x14ac:dyDescent="0.65">
      <c r="A71">
        <f t="shared" si="1"/>
        <v>70</v>
      </c>
      <c r="B71" s="8" t="s">
        <v>78</v>
      </c>
      <c r="C71" s="1">
        <v>1</v>
      </c>
      <c r="D71" s="1">
        <v>0</v>
      </c>
      <c r="E71" s="1" t="s">
        <v>185</v>
      </c>
      <c r="F71" s="1" t="s">
        <v>11</v>
      </c>
      <c r="G71" s="1">
        <v>59</v>
      </c>
      <c r="H71">
        <v>1</v>
      </c>
      <c r="N71" s="1" t="s">
        <v>73</v>
      </c>
    </row>
    <row r="72" spans="1:15" x14ac:dyDescent="0.65">
      <c r="A72">
        <f t="shared" si="1"/>
        <v>71</v>
      </c>
      <c r="B72" s="8" t="s">
        <v>79</v>
      </c>
      <c r="C72" s="1">
        <v>1</v>
      </c>
      <c r="D72" s="1">
        <v>0</v>
      </c>
      <c r="E72" s="1" t="s">
        <v>185</v>
      </c>
      <c r="F72" s="1" t="s">
        <v>11</v>
      </c>
      <c r="G72" s="1">
        <v>35</v>
      </c>
      <c r="H72">
        <v>1</v>
      </c>
      <c r="N72" s="1" t="s">
        <v>73</v>
      </c>
    </row>
    <row r="73" spans="1:15" x14ac:dyDescent="0.65">
      <c r="A73">
        <f t="shared" si="1"/>
        <v>72</v>
      </c>
      <c r="B73" s="8" t="s">
        <v>80</v>
      </c>
      <c r="C73" s="1">
        <v>1</v>
      </c>
      <c r="D73" s="1">
        <v>0</v>
      </c>
      <c r="E73" s="1" t="s">
        <v>185</v>
      </c>
      <c r="F73" s="1" t="s">
        <v>11</v>
      </c>
      <c r="G73" s="1">
        <v>29</v>
      </c>
      <c r="H73">
        <v>1</v>
      </c>
      <c r="N73" s="1" t="s">
        <v>73</v>
      </c>
    </row>
    <row r="74" spans="1:15" x14ac:dyDescent="0.65">
      <c r="A74">
        <f t="shared" si="1"/>
        <v>73</v>
      </c>
      <c r="B74" s="8" t="s">
        <v>81</v>
      </c>
      <c r="C74" s="1">
        <v>1</v>
      </c>
      <c r="D74" s="1">
        <v>0</v>
      </c>
      <c r="E74" s="1" t="s">
        <v>185</v>
      </c>
      <c r="F74" s="1" t="s">
        <v>11</v>
      </c>
      <c r="G74" s="1">
        <v>48</v>
      </c>
      <c r="H74">
        <v>1</v>
      </c>
      <c r="N74" s="1" t="s">
        <v>73</v>
      </c>
      <c r="O74" s="1" t="s">
        <v>253</v>
      </c>
    </row>
    <row r="75" spans="1:15" x14ac:dyDescent="0.65">
      <c r="A75">
        <f t="shared" si="1"/>
        <v>74</v>
      </c>
      <c r="B75" s="8" t="s">
        <v>82</v>
      </c>
      <c r="C75" s="1">
        <v>1</v>
      </c>
      <c r="D75" s="1">
        <v>1</v>
      </c>
      <c r="E75" s="1" t="s">
        <v>185</v>
      </c>
      <c r="F75" s="1" t="s">
        <v>11</v>
      </c>
      <c r="G75" s="1">
        <v>55</v>
      </c>
      <c r="H75">
        <v>1</v>
      </c>
      <c r="N75" s="1" t="s">
        <v>73</v>
      </c>
    </row>
    <row r="76" spans="1:15" x14ac:dyDescent="0.65">
      <c r="A76">
        <f t="shared" si="1"/>
        <v>75</v>
      </c>
      <c r="B76" s="8" t="s">
        <v>83</v>
      </c>
      <c r="C76" s="1">
        <v>1</v>
      </c>
      <c r="D76" s="1">
        <v>0</v>
      </c>
      <c r="E76" s="1" t="s">
        <v>185</v>
      </c>
      <c r="F76" s="1" t="s">
        <v>11</v>
      </c>
      <c r="G76" s="1">
        <v>47</v>
      </c>
      <c r="H76">
        <v>1</v>
      </c>
      <c r="N76" s="1" t="s">
        <v>73</v>
      </c>
    </row>
    <row r="77" spans="1:15" x14ac:dyDescent="0.65">
      <c r="A77">
        <f t="shared" si="1"/>
        <v>76</v>
      </c>
      <c r="B77" s="8" t="s">
        <v>84</v>
      </c>
      <c r="C77" s="1">
        <v>1</v>
      </c>
      <c r="D77" s="1">
        <v>0</v>
      </c>
      <c r="E77" s="1" t="s">
        <v>185</v>
      </c>
      <c r="F77" s="1" t="s">
        <v>11</v>
      </c>
      <c r="G77" s="1">
        <v>37</v>
      </c>
      <c r="H77">
        <v>1</v>
      </c>
      <c r="N77" s="1" t="s">
        <v>73</v>
      </c>
    </row>
    <row r="78" spans="1:15" x14ac:dyDescent="0.65">
      <c r="A78">
        <f t="shared" si="1"/>
        <v>77</v>
      </c>
      <c r="B78" s="8" t="s">
        <v>85</v>
      </c>
      <c r="C78" s="1">
        <v>1</v>
      </c>
      <c r="D78" s="1">
        <v>0</v>
      </c>
      <c r="E78" s="1" t="s">
        <v>185</v>
      </c>
      <c r="F78" s="1" t="s">
        <v>11</v>
      </c>
      <c r="G78" s="1">
        <v>42</v>
      </c>
      <c r="H78">
        <v>1</v>
      </c>
      <c r="N78" s="1" t="s">
        <v>73</v>
      </c>
    </row>
    <row r="79" spans="1:15" x14ac:dyDescent="0.65">
      <c r="A79">
        <f t="shared" si="1"/>
        <v>78</v>
      </c>
      <c r="B79" s="8" t="s">
        <v>86</v>
      </c>
      <c r="C79" s="1">
        <v>1</v>
      </c>
      <c r="D79" s="1">
        <v>0</v>
      </c>
      <c r="E79" s="1" t="s">
        <v>185</v>
      </c>
      <c r="F79" s="1" t="s">
        <v>11</v>
      </c>
      <c r="G79" s="1">
        <v>32</v>
      </c>
      <c r="H79">
        <v>1</v>
      </c>
      <c r="N79" s="1" t="s">
        <v>73</v>
      </c>
    </row>
    <row r="80" spans="1:15" x14ac:dyDescent="0.65">
      <c r="A80">
        <f t="shared" si="1"/>
        <v>79</v>
      </c>
      <c r="B80" s="8" t="s">
        <v>87</v>
      </c>
      <c r="C80" s="1">
        <v>1</v>
      </c>
      <c r="D80" s="1">
        <v>0</v>
      </c>
      <c r="E80" s="1" t="s">
        <v>185</v>
      </c>
      <c r="F80" s="1" t="s">
        <v>11</v>
      </c>
      <c r="G80" s="1">
        <v>43</v>
      </c>
      <c r="H80">
        <v>1</v>
      </c>
      <c r="N80" s="1" t="s">
        <v>73</v>
      </c>
    </row>
    <row r="81" spans="1:15" x14ac:dyDescent="0.65">
      <c r="A81">
        <f t="shared" si="1"/>
        <v>80</v>
      </c>
      <c r="B81" s="8" t="s">
        <v>88</v>
      </c>
      <c r="C81" s="1">
        <v>1</v>
      </c>
      <c r="D81" s="1">
        <v>0</v>
      </c>
      <c r="E81" s="1" t="s">
        <v>185</v>
      </c>
      <c r="F81" s="1" t="s">
        <v>11</v>
      </c>
      <c r="G81" s="1">
        <v>50</v>
      </c>
      <c r="H81">
        <v>1</v>
      </c>
      <c r="N81" s="1" t="s">
        <v>73</v>
      </c>
    </row>
    <row r="82" spans="1:15" x14ac:dyDescent="0.65">
      <c r="A82">
        <f t="shared" si="1"/>
        <v>81</v>
      </c>
      <c r="B82" s="8" t="s">
        <v>89</v>
      </c>
      <c r="C82" s="1">
        <v>0</v>
      </c>
      <c r="D82" s="1">
        <v>0</v>
      </c>
      <c r="E82" s="1" t="s">
        <v>185</v>
      </c>
      <c r="F82" s="1" t="s">
        <v>11</v>
      </c>
      <c r="G82" s="1">
        <v>61</v>
      </c>
      <c r="H82">
        <v>1</v>
      </c>
      <c r="N82" s="1" t="s">
        <v>73</v>
      </c>
    </row>
    <row r="83" spans="1:15" x14ac:dyDescent="0.65">
      <c r="A83">
        <f t="shared" si="1"/>
        <v>82</v>
      </c>
      <c r="B83" s="8" t="s">
        <v>90</v>
      </c>
      <c r="C83" s="1">
        <v>1</v>
      </c>
      <c r="D83" s="1">
        <v>0</v>
      </c>
      <c r="E83" s="1" t="s">
        <v>185</v>
      </c>
      <c r="F83" s="1" t="s">
        <v>11</v>
      </c>
      <c r="G83" s="1">
        <v>43</v>
      </c>
      <c r="H83">
        <v>1</v>
      </c>
      <c r="N83" s="1" t="s">
        <v>73</v>
      </c>
    </row>
    <row r="84" spans="1:15" x14ac:dyDescent="0.65">
      <c r="A84">
        <f t="shared" si="1"/>
        <v>83</v>
      </c>
      <c r="B84" s="8" t="s">
        <v>91</v>
      </c>
      <c r="C84" s="1">
        <v>1</v>
      </c>
      <c r="D84" s="1">
        <v>0</v>
      </c>
      <c r="E84" s="1" t="s">
        <v>185</v>
      </c>
      <c r="F84" s="1" t="s">
        <v>11</v>
      </c>
      <c r="G84" s="1">
        <v>51</v>
      </c>
      <c r="H84">
        <v>1</v>
      </c>
      <c r="N84" s="1" t="s">
        <v>73</v>
      </c>
      <c r="O84" s="1" t="s">
        <v>253</v>
      </c>
    </row>
    <row r="85" spans="1:15" x14ac:dyDescent="0.65">
      <c r="A85">
        <f t="shared" si="1"/>
        <v>84</v>
      </c>
      <c r="B85" s="8" t="s">
        <v>92</v>
      </c>
      <c r="C85" s="1">
        <v>1</v>
      </c>
      <c r="D85" s="1">
        <v>0</v>
      </c>
      <c r="E85" s="1" t="s">
        <v>185</v>
      </c>
      <c r="F85" s="1" t="s">
        <v>11</v>
      </c>
      <c r="G85" s="1">
        <v>47</v>
      </c>
      <c r="H85">
        <v>1</v>
      </c>
      <c r="N85" s="1" t="s">
        <v>73</v>
      </c>
      <c r="O85" s="1" t="s">
        <v>253</v>
      </c>
    </row>
    <row r="86" spans="1:15" x14ac:dyDescent="0.65">
      <c r="A86">
        <f t="shared" si="1"/>
        <v>85</v>
      </c>
      <c r="B86" s="8" t="s">
        <v>93</v>
      </c>
      <c r="C86" s="1">
        <v>1</v>
      </c>
      <c r="D86" s="1">
        <v>0</v>
      </c>
      <c r="E86" s="1" t="s">
        <v>185</v>
      </c>
      <c r="F86" s="1" t="s">
        <v>11</v>
      </c>
      <c r="G86" s="1">
        <v>29</v>
      </c>
      <c r="H86">
        <v>1</v>
      </c>
      <c r="N86" s="1" t="s">
        <v>73</v>
      </c>
    </row>
    <row r="87" spans="1:15" x14ac:dyDescent="0.65">
      <c r="A87">
        <f t="shared" si="1"/>
        <v>86</v>
      </c>
      <c r="B87" s="8" t="s">
        <v>94</v>
      </c>
      <c r="C87" s="1">
        <v>1</v>
      </c>
      <c r="D87" s="1">
        <v>0</v>
      </c>
      <c r="E87" s="1" t="s">
        <v>185</v>
      </c>
      <c r="F87" s="1" t="s">
        <v>11</v>
      </c>
      <c r="G87" s="1">
        <v>47</v>
      </c>
      <c r="H87">
        <v>1</v>
      </c>
      <c r="N87" s="1" t="s">
        <v>73</v>
      </c>
    </row>
    <row r="88" spans="1:15" x14ac:dyDescent="0.65">
      <c r="A88">
        <f t="shared" si="1"/>
        <v>87</v>
      </c>
      <c r="B88" s="8" t="s">
        <v>95</v>
      </c>
      <c r="C88" s="1">
        <v>0</v>
      </c>
      <c r="D88" s="1">
        <v>0</v>
      </c>
      <c r="E88" s="1" t="s">
        <v>185</v>
      </c>
      <c r="F88" s="1" t="s">
        <v>11</v>
      </c>
      <c r="G88" s="1">
        <v>36</v>
      </c>
      <c r="H88">
        <v>1</v>
      </c>
      <c r="N88" s="1" t="s">
        <v>73</v>
      </c>
    </row>
    <row r="89" spans="1:15" x14ac:dyDescent="0.65">
      <c r="A89">
        <f t="shared" si="1"/>
        <v>88</v>
      </c>
      <c r="B89" s="8" t="s">
        <v>96</v>
      </c>
      <c r="C89" s="1">
        <v>1</v>
      </c>
      <c r="D89" s="1">
        <v>1</v>
      </c>
      <c r="E89" s="1" t="s">
        <v>185</v>
      </c>
      <c r="F89" s="1" t="s">
        <v>11</v>
      </c>
      <c r="G89" s="1">
        <v>50</v>
      </c>
      <c r="H89">
        <v>1</v>
      </c>
      <c r="N89" s="1" t="s">
        <v>73</v>
      </c>
    </row>
    <row r="90" spans="1:15" x14ac:dyDescent="0.65">
      <c r="A90">
        <f t="shared" si="1"/>
        <v>89</v>
      </c>
      <c r="B90" s="8" t="s">
        <v>97</v>
      </c>
      <c r="C90" s="1">
        <v>1</v>
      </c>
      <c r="D90" s="1">
        <v>0</v>
      </c>
      <c r="E90" s="1" t="s">
        <v>185</v>
      </c>
      <c r="F90" s="1" t="s">
        <v>11</v>
      </c>
      <c r="G90" s="1">
        <v>33</v>
      </c>
      <c r="H90">
        <v>1</v>
      </c>
      <c r="N90" s="1" t="s">
        <v>73</v>
      </c>
    </row>
    <row r="91" spans="1:15" x14ac:dyDescent="0.65">
      <c r="A91">
        <f t="shared" si="1"/>
        <v>90</v>
      </c>
      <c r="B91" s="8" t="s">
        <v>98</v>
      </c>
      <c r="C91" s="1">
        <v>1</v>
      </c>
      <c r="D91" s="1">
        <v>0</v>
      </c>
      <c r="E91" s="1" t="s">
        <v>185</v>
      </c>
      <c r="F91" s="1" t="s">
        <v>11</v>
      </c>
      <c r="G91" s="1">
        <v>55</v>
      </c>
      <c r="H91">
        <v>1</v>
      </c>
      <c r="N91" s="1" t="s">
        <v>73</v>
      </c>
    </row>
    <row r="92" spans="1:15" x14ac:dyDescent="0.65">
      <c r="A92">
        <f t="shared" si="1"/>
        <v>91</v>
      </c>
      <c r="B92" s="8" t="s">
        <v>99</v>
      </c>
      <c r="C92" s="1">
        <v>1</v>
      </c>
      <c r="D92" s="1">
        <v>0</v>
      </c>
      <c r="E92" s="1" t="s">
        <v>185</v>
      </c>
      <c r="F92" s="1" t="s">
        <v>11</v>
      </c>
      <c r="G92" s="1">
        <v>24</v>
      </c>
      <c r="H92">
        <v>1</v>
      </c>
      <c r="N92" s="1" t="s">
        <v>73</v>
      </c>
    </row>
    <row r="93" spans="1:15" x14ac:dyDescent="0.65">
      <c r="A93">
        <f t="shared" si="1"/>
        <v>92</v>
      </c>
      <c r="B93" s="8" t="s">
        <v>100</v>
      </c>
      <c r="C93" s="1">
        <v>1</v>
      </c>
      <c r="D93" s="1">
        <v>0</v>
      </c>
      <c r="E93" s="1" t="s">
        <v>185</v>
      </c>
      <c r="F93" s="1" t="s">
        <v>11</v>
      </c>
      <c r="G93" s="1">
        <v>41</v>
      </c>
      <c r="H93">
        <v>1</v>
      </c>
      <c r="N93" s="1" t="s">
        <v>73</v>
      </c>
    </row>
    <row r="94" spans="1:15" x14ac:dyDescent="0.65">
      <c r="A94">
        <f t="shared" si="1"/>
        <v>93</v>
      </c>
      <c r="B94" s="8" t="s">
        <v>101</v>
      </c>
      <c r="C94" s="1">
        <v>1</v>
      </c>
      <c r="D94" s="1">
        <v>0</v>
      </c>
      <c r="E94" s="1" t="s">
        <v>185</v>
      </c>
      <c r="F94" s="1" t="s">
        <v>11</v>
      </c>
      <c r="G94" s="1">
        <v>34</v>
      </c>
      <c r="H94">
        <v>1</v>
      </c>
      <c r="N94" s="1" t="s">
        <v>73</v>
      </c>
    </row>
    <row r="95" spans="1:15" x14ac:dyDescent="0.65">
      <c r="A95">
        <f t="shared" si="1"/>
        <v>94</v>
      </c>
      <c r="B95" s="8" t="s">
        <v>102</v>
      </c>
      <c r="C95" s="1">
        <v>1</v>
      </c>
      <c r="D95" s="1">
        <v>0</v>
      </c>
      <c r="E95" s="1" t="s">
        <v>185</v>
      </c>
      <c r="F95" s="1" t="s">
        <v>11</v>
      </c>
      <c r="G95" s="1">
        <v>26</v>
      </c>
      <c r="H95">
        <v>1</v>
      </c>
      <c r="N95" s="1" t="s">
        <v>73</v>
      </c>
    </row>
    <row r="96" spans="1:15" x14ac:dyDescent="0.65">
      <c r="A96">
        <f t="shared" si="1"/>
        <v>95</v>
      </c>
      <c r="B96" s="8" t="s">
        <v>103</v>
      </c>
      <c r="C96" s="1">
        <v>1</v>
      </c>
      <c r="D96" s="1">
        <v>0</v>
      </c>
      <c r="E96" s="1" t="s">
        <v>185</v>
      </c>
      <c r="F96" s="1" t="s">
        <v>11</v>
      </c>
      <c r="G96" s="1">
        <v>40</v>
      </c>
      <c r="H96">
        <v>1</v>
      </c>
      <c r="N96" s="1" t="s">
        <v>73</v>
      </c>
    </row>
    <row r="97" spans="1:15" x14ac:dyDescent="0.65">
      <c r="A97">
        <f>ROW(A95)</f>
        <v>95</v>
      </c>
      <c r="B97" s="8" t="s">
        <v>104</v>
      </c>
      <c r="C97" s="1">
        <v>1</v>
      </c>
      <c r="D97" s="1">
        <v>0</v>
      </c>
      <c r="E97" s="1" t="s">
        <v>185</v>
      </c>
      <c r="F97" s="1" t="s">
        <v>11</v>
      </c>
      <c r="G97" s="1">
        <v>37</v>
      </c>
      <c r="H97">
        <v>1</v>
      </c>
      <c r="N97" s="1" t="s">
        <v>73</v>
      </c>
    </row>
    <row r="98" spans="1:15" x14ac:dyDescent="0.65">
      <c r="A98">
        <f t="shared" si="1"/>
        <v>97</v>
      </c>
      <c r="B98" s="8" t="s">
        <v>105</v>
      </c>
      <c r="C98" s="1">
        <v>1</v>
      </c>
      <c r="D98" s="1">
        <v>0</v>
      </c>
      <c r="E98" s="1" t="s">
        <v>185</v>
      </c>
      <c r="F98" s="1" t="s">
        <v>11</v>
      </c>
      <c r="G98" s="1">
        <v>49</v>
      </c>
      <c r="H98">
        <v>1</v>
      </c>
      <c r="N98" s="1" t="s">
        <v>73</v>
      </c>
    </row>
    <row r="99" spans="1:15" x14ac:dyDescent="0.65">
      <c r="A99">
        <f t="shared" si="1"/>
        <v>98</v>
      </c>
      <c r="B99" s="8" t="s">
        <v>106</v>
      </c>
      <c r="C99" s="1">
        <v>1</v>
      </c>
      <c r="D99" s="1">
        <v>0</v>
      </c>
      <c r="E99" s="1" t="s">
        <v>185</v>
      </c>
      <c r="F99" s="1" t="s">
        <v>11</v>
      </c>
      <c r="G99" s="1">
        <v>37</v>
      </c>
      <c r="H99">
        <v>1</v>
      </c>
      <c r="N99" s="1" t="s">
        <v>73</v>
      </c>
    </row>
    <row r="100" spans="1:15" x14ac:dyDescent="0.65">
      <c r="A100">
        <f t="shared" si="1"/>
        <v>99</v>
      </c>
      <c r="B100" s="8" t="s">
        <v>107</v>
      </c>
      <c r="C100" s="1">
        <v>1</v>
      </c>
      <c r="D100" s="1">
        <v>0</v>
      </c>
      <c r="E100" s="1" t="s">
        <v>185</v>
      </c>
      <c r="F100" s="1" t="s">
        <v>11</v>
      </c>
      <c r="G100" s="1">
        <v>50</v>
      </c>
      <c r="H100">
        <v>1</v>
      </c>
      <c r="N100" s="1" t="s">
        <v>73</v>
      </c>
      <c r="O100" s="1" t="s">
        <v>253</v>
      </c>
    </row>
    <row r="101" spans="1:15" x14ac:dyDescent="0.65">
      <c r="A101">
        <f t="shared" si="1"/>
        <v>100</v>
      </c>
      <c r="B101" s="8" t="s">
        <v>108</v>
      </c>
      <c r="C101" s="1">
        <v>1</v>
      </c>
      <c r="D101" s="1">
        <v>0</v>
      </c>
      <c r="E101" s="1" t="s">
        <v>185</v>
      </c>
      <c r="F101" s="1" t="s">
        <v>11</v>
      </c>
      <c r="G101" s="1">
        <v>53</v>
      </c>
      <c r="H101">
        <v>1</v>
      </c>
      <c r="N101" s="1" t="s">
        <v>73</v>
      </c>
      <c r="O101" s="1" t="s">
        <v>253</v>
      </c>
    </row>
    <row r="102" spans="1:15" x14ac:dyDescent="0.65">
      <c r="A102">
        <f t="shared" si="1"/>
        <v>101</v>
      </c>
      <c r="B102" s="8" t="s">
        <v>109</v>
      </c>
      <c r="C102" s="1">
        <v>1</v>
      </c>
      <c r="D102" s="1">
        <v>0</v>
      </c>
      <c r="E102" s="1" t="s">
        <v>186</v>
      </c>
      <c r="F102" s="1" t="s">
        <v>11</v>
      </c>
      <c r="G102" s="1">
        <v>26</v>
      </c>
      <c r="H102">
        <v>1</v>
      </c>
      <c r="N102" s="1" t="s">
        <v>73</v>
      </c>
    </row>
    <row r="103" spans="1:15" x14ac:dyDescent="0.65">
      <c r="A103">
        <f t="shared" si="1"/>
        <v>102</v>
      </c>
      <c r="B103" s="8" t="s">
        <v>110</v>
      </c>
      <c r="C103" s="1">
        <v>1</v>
      </c>
      <c r="D103" s="1">
        <v>0</v>
      </c>
      <c r="E103" s="1" t="s">
        <v>186</v>
      </c>
      <c r="F103" s="1" t="s">
        <v>11</v>
      </c>
      <c r="G103" s="1">
        <v>41</v>
      </c>
      <c r="H103">
        <v>1</v>
      </c>
      <c r="N103" s="1" t="s">
        <v>73</v>
      </c>
    </row>
    <row r="104" spans="1:15" x14ac:dyDescent="0.65">
      <c r="A104">
        <f t="shared" si="1"/>
        <v>103</v>
      </c>
      <c r="B104" s="8" t="s">
        <v>111</v>
      </c>
      <c r="C104" s="1">
        <v>1</v>
      </c>
      <c r="D104" s="1">
        <v>0</v>
      </c>
      <c r="E104" s="1" t="s">
        <v>186</v>
      </c>
      <c r="F104" s="1" t="s">
        <v>11</v>
      </c>
      <c r="G104" s="1">
        <v>42</v>
      </c>
      <c r="H104">
        <v>1</v>
      </c>
      <c r="N104" s="1" t="s">
        <v>73</v>
      </c>
    </row>
    <row r="105" spans="1:15" x14ac:dyDescent="0.65">
      <c r="A105">
        <f t="shared" si="1"/>
        <v>104</v>
      </c>
      <c r="B105" s="8" t="s">
        <v>112</v>
      </c>
      <c r="C105" s="1">
        <v>1</v>
      </c>
      <c r="D105" s="1">
        <v>0</v>
      </c>
      <c r="E105" s="1" t="s">
        <v>186</v>
      </c>
      <c r="F105" s="1" t="s">
        <v>11</v>
      </c>
      <c r="G105" s="1">
        <v>35</v>
      </c>
      <c r="H105">
        <v>1</v>
      </c>
      <c r="N105" s="1" t="s">
        <v>73</v>
      </c>
    </row>
    <row r="106" spans="1:15" x14ac:dyDescent="0.65">
      <c r="A106">
        <f t="shared" si="1"/>
        <v>105</v>
      </c>
      <c r="B106" s="8" t="s">
        <v>113</v>
      </c>
      <c r="C106" s="1">
        <v>1</v>
      </c>
      <c r="D106" s="1">
        <v>0</v>
      </c>
      <c r="E106" s="1" t="s">
        <v>186</v>
      </c>
      <c r="F106" s="1" t="s">
        <v>11</v>
      </c>
      <c r="G106" s="1">
        <v>25</v>
      </c>
      <c r="H106">
        <v>1</v>
      </c>
      <c r="N106" s="1" t="s">
        <v>73</v>
      </c>
    </row>
    <row r="107" spans="1:15" x14ac:dyDescent="0.65">
      <c r="A107">
        <f t="shared" si="1"/>
        <v>106</v>
      </c>
      <c r="B107" s="8" t="s">
        <v>114</v>
      </c>
      <c r="C107" s="1">
        <v>1</v>
      </c>
      <c r="D107" s="1">
        <v>0</v>
      </c>
      <c r="E107" s="1" t="s">
        <v>186</v>
      </c>
      <c r="F107" s="1" t="s">
        <v>11</v>
      </c>
      <c r="G107" s="1">
        <v>30</v>
      </c>
      <c r="H107">
        <v>1</v>
      </c>
      <c r="N107" s="1" t="s">
        <v>73</v>
      </c>
      <c r="O107" s="1" t="s">
        <v>253</v>
      </c>
    </row>
    <row r="108" spans="1:15" x14ac:dyDescent="0.65">
      <c r="A108">
        <f t="shared" si="1"/>
        <v>107</v>
      </c>
      <c r="B108" s="8" t="s">
        <v>115</v>
      </c>
      <c r="C108" s="1">
        <v>1</v>
      </c>
      <c r="D108" s="1">
        <v>0</v>
      </c>
      <c r="E108" s="1" t="s">
        <v>186</v>
      </c>
      <c r="F108" s="1" t="s">
        <v>11</v>
      </c>
      <c r="G108" s="1">
        <v>40</v>
      </c>
      <c r="H108">
        <v>1</v>
      </c>
      <c r="N108" s="1" t="s">
        <v>73</v>
      </c>
    </row>
    <row r="109" spans="1:15" x14ac:dyDescent="0.65">
      <c r="A109">
        <f t="shared" si="1"/>
        <v>108</v>
      </c>
      <c r="B109" s="8" t="s">
        <v>116</v>
      </c>
      <c r="C109" s="1">
        <v>1</v>
      </c>
      <c r="D109" s="1">
        <v>1</v>
      </c>
      <c r="E109" s="1" t="s">
        <v>186</v>
      </c>
      <c r="F109" s="1" t="s">
        <v>11</v>
      </c>
      <c r="G109" s="1">
        <v>49</v>
      </c>
      <c r="H109">
        <v>1</v>
      </c>
      <c r="N109" s="1" t="s">
        <v>73</v>
      </c>
    </row>
    <row r="110" spans="1:15" x14ac:dyDescent="0.65">
      <c r="A110">
        <f t="shared" si="1"/>
        <v>109</v>
      </c>
      <c r="B110" s="8" t="s">
        <v>117</v>
      </c>
      <c r="C110" s="1">
        <v>1</v>
      </c>
      <c r="D110" s="1">
        <v>0</v>
      </c>
      <c r="E110" s="1" t="s">
        <v>186</v>
      </c>
      <c r="F110" s="1" t="s">
        <v>11</v>
      </c>
      <c r="G110" s="1">
        <v>48</v>
      </c>
      <c r="H110">
        <v>1</v>
      </c>
      <c r="N110" s="1" t="s">
        <v>73</v>
      </c>
    </row>
    <row r="111" spans="1:15" x14ac:dyDescent="0.65">
      <c r="A111">
        <f t="shared" si="1"/>
        <v>110</v>
      </c>
      <c r="B111" s="8" t="s">
        <v>118</v>
      </c>
      <c r="C111" s="1">
        <v>1</v>
      </c>
      <c r="D111" s="1">
        <v>0</v>
      </c>
      <c r="E111" s="1" t="s">
        <v>186</v>
      </c>
      <c r="F111" s="1" t="s">
        <v>11</v>
      </c>
      <c r="G111" s="1">
        <v>46</v>
      </c>
      <c r="H111">
        <v>1</v>
      </c>
      <c r="N111" s="1" t="s">
        <v>73</v>
      </c>
      <c r="O111" s="1" t="s">
        <v>253</v>
      </c>
    </row>
    <row r="112" spans="1:15" x14ac:dyDescent="0.65">
      <c r="A112">
        <f t="shared" si="1"/>
        <v>111</v>
      </c>
      <c r="B112" s="8" t="s">
        <v>119</v>
      </c>
      <c r="C112" s="1">
        <v>1</v>
      </c>
      <c r="D112" s="1">
        <v>1</v>
      </c>
      <c r="E112" s="1" t="s">
        <v>186</v>
      </c>
      <c r="F112" s="1" t="s">
        <v>11</v>
      </c>
      <c r="G112" s="1">
        <v>34</v>
      </c>
      <c r="H112">
        <v>1</v>
      </c>
      <c r="N112" s="1" t="s">
        <v>73</v>
      </c>
      <c r="O112" s="1" t="s">
        <v>253</v>
      </c>
    </row>
    <row r="113" spans="1:15" x14ac:dyDescent="0.65">
      <c r="A113">
        <f t="shared" si="1"/>
        <v>112</v>
      </c>
      <c r="B113" s="8" t="s">
        <v>120</v>
      </c>
      <c r="C113" s="1">
        <v>1</v>
      </c>
      <c r="D113" s="1">
        <v>0</v>
      </c>
      <c r="E113" s="1" t="s">
        <v>186</v>
      </c>
      <c r="F113" s="1" t="s">
        <v>11</v>
      </c>
      <c r="G113" s="1">
        <v>40</v>
      </c>
      <c r="H113">
        <v>1</v>
      </c>
      <c r="N113" s="1" t="s">
        <v>73</v>
      </c>
      <c r="O113" s="1" t="s">
        <v>253</v>
      </c>
    </row>
    <row r="114" spans="1:15" x14ac:dyDescent="0.65">
      <c r="A114">
        <f t="shared" si="1"/>
        <v>113</v>
      </c>
      <c r="B114" s="8" t="s">
        <v>121</v>
      </c>
      <c r="C114" s="1">
        <v>0</v>
      </c>
      <c r="D114" s="1">
        <v>0</v>
      </c>
      <c r="E114" s="1" t="s">
        <v>186</v>
      </c>
      <c r="F114" s="1" t="s">
        <v>11</v>
      </c>
      <c r="G114" s="1">
        <v>18</v>
      </c>
      <c r="H114">
        <v>1</v>
      </c>
      <c r="N114" s="1" t="s">
        <v>73</v>
      </c>
      <c r="O114" s="1" t="s">
        <v>253</v>
      </c>
    </row>
    <row r="115" spans="1:15" x14ac:dyDescent="0.65">
      <c r="A115">
        <f t="shared" si="1"/>
        <v>114</v>
      </c>
      <c r="B115" s="8" t="s">
        <v>122</v>
      </c>
      <c r="C115" s="1">
        <v>1</v>
      </c>
      <c r="D115" s="1">
        <v>0</v>
      </c>
      <c r="E115" s="1" t="s">
        <v>186</v>
      </c>
      <c r="F115" s="1" t="s">
        <v>11</v>
      </c>
      <c r="G115" s="1">
        <v>19</v>
      </c>
      <c r="H115">
        <v>1</v>
      </c>
      <c r="N115" s="1" t="s">
        <v>73</v>
      </c>
      <c r="O115" s="1" t="s">
        <v>253</v>
      </c>
    </row>
    <row r="116" spans="1:15" x14ac:dyDescent="0.65">
      <c r="A116">
        <f t="shared" si="1"/>
        <v>115</v>
      </c>
      <c r="B116" s="8" t="s">
        <v>123</v>
      </c>
      <c r="C116" s="1">
        <v>1</v>
      </c>
      <c r="D116" s="1">
        <v>0</v>
      </c>
      <c r="E116" s="1" t="s">
        <v>186</v>
      </c>
      <c r="F116" s="1" t="s">
        <v>11</v>
      </c>
      <c r="G116" s="1">
        <v>43</v>
      </c>
      <c r="H116">
        <v>1</v>
      </c>
      <c r="N116" s="1" t="s">
        <v>73</v>
      </c>
    </row>
    <row r="117" spans="1:15" x14ac:dyDescent="0.65">
      <c r="A117">
        <f t="shared" si="1"/>
        <v>116</v>
      </c>
      <c r="B117" s="8" t="s">
        <v>124</v>
      </c>
      <c r="C117" s="1">
        <v>1</v>
      </c>
      <c r="D117" s="1">
        <v>0</v>
      </c>
      <c r="E117" s="1" t="s">
        <v>186</v>
      </c>
      <c r="F117" s="1" t="s">
        <v>11</v>
      </c>
      <c r="G117" s="1">
        <v>30</v>
      </c>
      <c r="H117">
        <v>1</v>
      </c>
      <c r="N117" s="1" t="s">
        <v>73</v>
      </c>
    </row>
    <row r="118" spans="1:15" x14ac:dyDescent="0.65">
      <c r="A118">
        <f t="shared" si="1"/>
        <v>117</v>
      </c>
      <c r="B118" s="8" t="s">
        <v>125</v>
      </c>
      <c r="C118" s="1">
        <v>1</v>
      </c>
      <c r="D118" s="1">
        <v>0</v>
      </c>
      <c r="E118" s="1" t="s">
        <v>186</v>
      </c>
      <c r="F118" s="1" t="s">
        <v>11</v>
      </c>
      <c r="G118" s="1">
        <v>45</v>
      </c>
      <c r="H118">
        <v>1</v>
      </c>
      <c r="N118" s="1" t="s">
        <v>73</v>
      </c>
    </row>
    <row r="119" spans="1:15" x14ac:dyDescent="0.65">
      <c r="A119">
        <f t="shared" si="1"/>
        <v>118</v>
      </c>
      <c r="B119" s="8" t="s">
        <v>126</v>
      </c>
      <c r="C119" s="1">
        <v>1</v>
      </c>
      <c r="D119" s="1">
        <v>0</v>
      </c>
      <c r="E119" s="1" t="s">
        <v>186</v>
      </c>
      <c r="F119" s="1" t="s">
        <v>11</v>
      </c>
      <c r="G119" s="1">
        <v>37</v>
      </c>
      <c r="H119">
        <v>1</v>
      </c>
      <c r="N119" s="1" t="s">
        <v>73</v>
      </c>
    </row>
    <row r="120" spans="1:15" x14ac:dyDescent="0.65">
      <c r="A120">
        <f t="shared" si="1"/>
        <v>119</v>
      </c>
      <c r="B120" s="8" t="s">
        <v>127</v>
      </c>
      <c r="C120" s="1">
        <v>1</v>
      </c>
      <c r="D120" s="1">
        <v>1</v>
      </c>
      <c r="E120" s="1" t="s">
        <v>186</v>
      </c>
      <c r="F120" s="1" t="s">
        <v>11</v>
      </c>
      <c r="G120" s="1">
        <v>34</v>
      </c>
      <c r="H120">
        <v>1</v>
      </c>
      <c r="N120" s="1" t="s">
        <v>73</v>
      </c>
    </row>
    <row r="121" spans="1:15" x14ac:dyDescent="0.65">
      <c r="A121">
        <f t="shared" si="1"/>
        <v>120</v>
      </c>
      <c r="B121" s="8" t="s">
        <v>128</v>
      </c>
      <c r="C121" s="1">
        <v>1</v>
      </c>
      <c r="D121" s="1">
        <v>0</v>
      </c>
      <c r="E121" s="1" t="s">
        <v>186</v>
      </c>
      <c r="F121" s="1" t="s">
        <v>11</v>
      </c>
      <c r="G121" s="1">
        <v>28</v>
      </c>
      <c r="H121">
        <v>1</v>
      </c>
      <c r="N121" s="1" t="s">
        <v>73</v>
      </c>
    </row>
    <row r="122" spans="1:15" x14ac:dyDescent="0.65">
      <c r="A122">
        <f t="shared" si="1"/>
        <v>121</v>
      </c>
      <c r="B122" s="8" t="s">
        <v>129</v>
      </c>
      <c r="C122" s="1">
        <v>1</v>
      </c>
      <c r="D122" s="1">
        <v>0</v>
      </c>
      <c r="E122" s="1" t="s">
        <v>186</v>
      </c>
      <c r="F122" s="1" t="s">
        <v>11</v>
      </c>
      <c r="G122" s="1">
        <v>33</v>
      </c>
      <c r="H122">
        <v>1</v>
      </c>
      <c r="N122" s="1" t="s">
        <v>73</v>
      </c>
    </row>
    <row r="123" spans="1:15" x14ac:dyDescent="0.65">
      <c r="A123">
        <f t="shared" si="1"/>
        <v>122</v>
      </c>
      <c r="B123" s="8" t="s">
        <v>130</v>
      </c>
      <c r="C123" s="1">
        <v>1</v>
      </c>
      <c r="D123" s="1">
        <v>0</v>
      </c>
      <c r="E123" s="1" t="s">
        <v>186</v>
      </c>
      <c r="F123" s="1" t="s">
        <v>11</v>
      </c>
      <c r="G123" s="1">
        <v>37</v>
      </c>
      <c r="H123">
        <v>1</v>
      </c>
      <c r="N123" s="1" t="s">
        <v>73</v>
      </c>
    </row>
    <row r="124" spans="1:15" x14ac:dyDescent="0.65">
      <c r="A124">
        <f t="shared" si="1"/>
        <v>123</v>
      </c>
      <c r="B124" s="8" t="s">
        <v>131</v>
      </c>
      <c r="C124" s="1">
        <v>1</v>
      </c>
      <c r="D124" s="1">
        <v>0</v>
      </c>
      <c r="E124" s="1" t="s">
        <v>186</v>
      </c>
      <c r="F124" s="1" t="s">
        <v>11</v>
      </c>
      <c r="G124" s="1">
        <v>32</v>
      </c>
      <c r="H124">
        <v>1</v>
      </c>
      <c r="N124" s="1" t="s">
        <v>73</v>
      </c>
    </row>
    <row r="125" spans="1:15" x14ac:dyDescent="0.65">
      <c r="A125">
        <f t="shared" si="1"/>
        <v>124</v>
      </c>
      <c r="B125" s="8" t="s">
        <v>132</v>
      </c>
      <c r="C125" s="1">
        <v>0</v>
      </c>
      <c r="D125" s="1">
        <v>0</v>
      </c>
      <c r="E125" s="1" t="s">
        <v>192</v>
      </c>
      <c r="F125" s="1" t="s">
        <v>11</v>
      </c>
      <c r="G125" s="1">
        <v>37</v>
      </c>
      <c r="H125">
        <v>1</v>
      </c>
      <c r="N125" s="1" t="s">
        <v>73</v>
      </c>
    </row>
    <row r="126" spans="1:15" x14ac:dyDescent="0.65">
      <c r="A126">
        <f t="shared" si="1"/>
        <v>125</v>
      </c>
      <c r="B126" s="8" t="s">
        <v>133</v>
      </c>
      <c r="C126" s="1">
        <v>0</v>
      </c>
      <c r="D126" s="1">
        <v>0</v>
      </c>
      <c r="E126" s="1" t="s">
        <v>192</v>
      </c>
      <c r="F126" s="1" t="s">
        <v>11</v>
      </c>
      <c r="G126" s="1">
        <v>43</v>
      </c>
      <c r="H126">
        <v>1</v>
      </c>
      <c r="N126" s="1" t="s">
        <v>73</v>
      </c>
    </row>
    <row r="127" spans="1:15" x14ac:dyDescent="0.65">
      <c r="A127">
        <f t="shared" si="1"/>
        <v>126</v>
      </c>
      <c r="B127" s="8" t="s">
        <v>134</v>
      </c>
      <c r="C127" s="1">
        <v>1</v>
      </c>
      <c r="D127" s="1">
        <v>0</v>
      </c>
      <c r="E127" s="1" t="s">
        <v>192</v>
      </c>
      <c r="F127" s="1" t="s">
        <v>11</v>
      </c>
      <c r="G127" s="1">
        <v>46</v>
      </c>
      <c r="H127">
        <v>1</v>
      </c>
      <c r="N127" s="1" t="s">
        <v>73</v>
      </c>
    </row>
    <row r="128" spans="1:15" x14ac:dyDescent="0.65">
      <c r="A128">
        <f t="shared" si="1"/>
        <v>127</v>
      </c>
      <c r="B128" s="8" t="s">
        <v>135</v>
      </c>
      <c r="C128" s="1">
        <v>1</v>
      </c>
      <c r="D128" s="1">
        <v>0</v>
      </c>
      <c r="E128" s="1" t="s">
        <v>192</v>
      </c>
      <c r="F128" s="1" t="s">
        <v>11</v>
      </c>
      <c r="G128" s="1">
        <v>36</v>
      </c>
      <c r="H128">
        <v>1</v>
      </c>
      <c r="N128" s="1" t="s">
        <v>73</v>
      </c>
    </row>
    <row r="129" spans="1:15" x14ac:dyDescent="0.65">
      <c r="A129">
        <f t="shared" si="1"/>
        <v>128</v>
      </c>
      <c r="B129" s="8" t="s">
        <v>136</v>
      </c>
      <c r="C129" s="1">
        <v>1</v>
      </c>
      <c r="D129" s="1">
        <v>0</v>
      </c>
      <c r="E129" s="1" t="s">
        <v>192</v>
      </c>
      <c r="F129" s="1" t="s">
        <v>11</v>
      </c>
      <c r="G129" s="1">
        <v>35</v>
      </c>
      <c r="H129">
        <v>1</v>
      </c>
      <c r="N129" s="1" t="s">
        <v>73</v>
      </c>
    </row>
    <row r="130" spans="1:15" x14ac:dyDescent="0.65">
      <c r="A130">
        <f t="shared" si="1"/>
        <v>129</v>
      </c>
      <c r="B130" s="8" t="s">
        <v>137</v>
      </c>
      <c r="C130" s="1">
        <v>1</v>
      </c>
      <c r="D130" s="1">
        <v>0</v>
      </c>
      <c r="E130" s="1" t="s">
        <v>192</v>
      </c>
      <c r="F130" s="1" t="s">
        <v>11</v>
      </c>
      <c r="G130" s="1">
        <v>61</v>
      </c>
      <c r="H130">
        <v>1</v>
      </c>
      <c r="N130" s="1" t="s">
        <v>73</v>
      </c>
    </row>
    <row r="131" spans="1:15" x14ac:dyDescent="0.65">
      <c r="A131">
        <f t="shared" ref="A131:A194" si="2">ROW(A130)</f>
        <v>130</v>
      </c>
      <c r="B131" s="8" t="s">
        <v>138</v>
      </c>
      <c r="C131" s="1">
        <v>1</v>
      </c>
      <c r="D131" s="1">
        <v>0</v>
      </c>
      <c r="E131" s="1" t="s">
        <v>192</v>
      </c>
      <c r="F131" s="1" t="s">
        <v>11</v>
      </c>
      <c r="G131" s="1">
        <v>40</v>
      </c>
      <c r="H131">
        <v>1</v>
      </c>
      <c r="N131" s="1" t="s">
        <v>73</v>
      </c>
    </row>
    <row r="132" spans="1:15" x14ac:dyDescent="0.65">
      <c r="A132">
        <f t="shared" si="2"/>
        <v>131</v>
      </c>
      <c r="B132" s="8" t="s">
        <v>139</v>
      </c>
      <c r="C132" s="1">
        <v>1</v>
      </c>
      <c r="D132" s="1">
        <v>0</v>
      </c>
      <c r="E132" s="1" t="s">
        <v>192</v>
      </c>
      <c r="F132" s="1" t="s">
        <v>11</v>
      </c>
      <c r="G132" s="1">
        <v>43</v>
      </c>
      <c r="H132">
        <v>1</v>
      </c>
      <c r="N132" s="1" t="s">
        <v>73</v>
      </c>
      <c r="O132" s="1" t="s">
        <v>253</v>
      </c>
    </row>
    <row r="133" spans="1:15" x14ac:dyDescent="0.65">
      <c r="A133">
        <f t="shared" si="2"/>
        <v>132</v>
      </c>
      <c r="B133" s="8" t="s">
        <v>140</v>
      </c>
      <c r="C133" s="1">
        <v>1</v>
      </c>
      <c r="D133" s="1">
        <v>0</v>
      </c>
      <c r="E133" s="1" t="s">
        <v>192</v>
      </c>
      <c r="F133" s="1" t="s">
        <v>11</v>
      </c>
      <c r="G133" s="1">
        <v>38</v>
      </c>
      <c r="H133">
        <v>1</v>
      </c>
      <c r="N133" s="1" t="s">
        <v>73</v>
      </c>
    </row>
    <row r="134" spans="1:15" x14ac:dyDescent="0.65">
      <c r="A134">
        <f t="shared" si="2"/>
        <v>133</v>
      </c>
      <c r="B134" s="8" t="s">
        <v>141</v>
      </c>
      <c r="C134" s="1">
        <v>1</v>
      </c>
      <c r="D134" s="1">
        <v>0</v>
      </c>
      <c r="E134" s="1" t="s">
        <v>192</v>
      </c>
      <c r="F134" s="1" t="s">
        <v>11</v>
      </c>
      <c r="G134" s="1">
        <v>35</v>
      </c>
      <c r="H134">
        <v>1</v>
      </c>
      <c r="N134" s="1" t="s">
        <v>73</v>
      </c>
    </row>
    <row r="135" spans="1:15" x14ac:dyDescent="0.65">
      <c r="A135">
        <f t="shared" si="2"/>
        <v>134</v>
      </c>
      <c r="B135" s="8" t="s">
        <v>142</v>
      </c>
      <c r="C135" s="1">
        <v>1</v>
      </c>
      <c r="D135" s="1">
        <v>0</v>
      </c>
      <c r="E135" s="1" t="s">
        <v>192</v>
      </c>
      <c r="F135" s="1" t="s">
        <v>11</v>
      </c>
      <c r="G135" s="1">
        <v>24</v>
      </c>
      <c r="H135">
        <v>1</v>
      </c>
      <c r="N135" s="1" t="s">
        <v>73</v>
      </c>
    </row>
    <row r="136" spans="1:15" x14ac:dyDescent="0.65">
      <c r="A136">
        <f t="shared" si="2"/>
        <v>135</v>
      </c>
      <c r="B136" s="8" t="s">
        <v>143</v>
      </c>
      <c r="C136" s="1">
        <v>1</v>
      </c>
      <c r="D136" s="1">
        <v>0</v>
      </c>
      <c r="E136" s="1" t="s">
        <v>192</v>
      </c>
      <c r="F136" s="1" t="s">
        <v>11</v>
      </c>
      <c r="G136" s="1">
        <v>40</v>
      </c>
      <c r="H136">
        <v>1</v>
      </c>
      <c r="N136" s="1" t="s">
        <v>73</v>
      </c>
    </row>
    <row r="137" spans="1:15" x14ac:dyDescent="0.65">
      <c r="A137">
        <f t="shared" si="2"/>
        <v>136</v>
      </c>
      <c r="B137" s="8" t="s">
        <v>144</v>
      </c>
      <c r="C137" s="1">
        <v>1</v>
      </c>
      <c r="D137" s="1">
        <v>0</v>
      </c>
      <c r="E137" s="1" t="s">
        <v>192</v>
      </c>
      <c r="F137" s="1" t="s">
        <v>11</v>
      </c>
      <c r="G137" s="1">
        <v>27</v>
      </c>
      <c r="H137">
        <v>1</v>
      </c>
      <c r="N137" s="1" t="s">
        <v>73</v>
      </c>
    </row>
    <row r="138" spans="1:15" x14ac:dyDescent="0.65">
      <c r="A138">
        <f t="shared" si="2"/>
        <v>137</v>
      </c>
      <c r="B138" s="8" t="s">
        <v>145</v>
      </c>
      <c r="C138" s="1">
        <v>1</v>
      </c>
      <c r="D138" s="1">
        <v>0</v>
      </c>
      <c r="E138" s="1" t="s">
        <v>192</v>
      </c>
      <c r="F138" s="1" t="s">
        <v>11</v>
      </c>
      <c r="G138" s="1">
        <v>47</v>
      </c>
      <c r="H138">
        <v>1</v>
      </c>
      <c r="N138" s="1" t="s">
        <v>73</v>
      </c>
    </row>
    <row r="139" spans="1:15" x14ac:dyDescent="0.65">
      <c r="A139">
        <f t="shared" si="2"/>
        <v>138</v>
      </c>
      <c r="B139" s="8" t="s">
        <v>146</v>
      </c>
      <c r="C139" s="1">
        <v>1</v>
      </c>
      <c r="D139" s="1">
        <v>0</v>
      </c>
      <c r="E139" s="1" t="s">
        <v>192</v>
      </c>
      <c r="F139" s="1" t="s">
        <v>11</v>
      </c>
      <c r="G139" s="1">
        <v>42</v>
      </c>
      <c r="H139">
        <v>1</v>
      </c>
      <c r="N139" s="1" t="s">
        <v>73</v>
      </c>
    </row>
    <row r="140" spans="1:15" x14ac:dyDescent="0.65">
      <c r="A140">
        <f t="shared" si="2"/>
        <v>139</v>
      </c>
      <c r="B140" s="8" t="s">
        <v>147</v>
      </c>
      <c r="C140" s="1">
        <v>1</v>
      </c>
      <c r="D140" s="1">
        <v>0</v>
      </c>
      <c r="E140" s="1" t="s">
        <v>189</v>
      </c>
      <c r="F140" s="1" t="s">
        <v>11</v>
      </c>
      <c r="G140" s="1">
        <v>55</v>
      </c>
      <c r="H140">
        <v>1</v>
      </c>
      <c r="N140" s="1" t="s">
        <v>73</v>
      </c>
    </row>
    <row r="141" spans="1:15" x14ac:dyDescent="0.65">
      <c r="A141">
        <f t="shared" si="2"/>
        <v>140</v>
      </c>
      <c r="B141" s="8" t="s">
        <v>148</v>
      </c>
      <c r="C141" s="1">
        <v>1</v>
      </c>
      <c r="D141" s="1">
        <v>0</v>
      </c>
      <c r="E141" s="1" t="s">
        <v>189</v>
      </c>
      <c r="F141" s="1" t="s">
        <v>11</v>
      </c>
      <c r="G141" s="1">
        <v>27</v>
      </c>
      <c r="H141">
        <v>1</v>
      </c>
      <c r="N141" s="1" t="s">
        <v>73</v>
      </c>
    </row>
    <row r="142" spans="1:15" x14ac:dyDescent="0.65">
      <c r="A142">
        <f t="shared" si="2"/>
        <v>141</v>
      </c>
      <c r="B142" s="8" t="s">
        <v>149</v>
      </c>
      <c r="C142" s="1">
        <v>1</v>
      </c>
      <c r="D142" s="1">
        <v>0</v>
      </c>
      <c r="E142" s="1" t="s">
        <v>189</v>
      </c>
      <c r="F142" s="1" t="s">
        <v>11</v>
      </c>
      <c r="G142" s="1">
        <v>70</v>
      </c>
      <c r="H142">
        <v>1</v>
      </c>
      <c r="N142" s="1" t="s">
        <v>73</v>
      </c>
    </row>
    <row r="143" spans="1:15" x14ac:dyDescent="0.65">
      <c r="A143">
        <f t="shared" si="2"/>
        <v>142</v>
      </c>
      <c r="B143" s="8" t="s">
        <v>150</v>
      </c>
      <c r="C143" s="1">
        <v>0</v>
      </c>
      <c r="D143" s="1">
        <v>0</v>
      </c>
      <c r="E143" s="1" t="s">
        <v>189</v>
      </c>
      <c r="F143" s="1" t="s">
        <v>11</v>
      </c>
      <c r="G143" s="1">
        <v>64</v>
      </c>
      <c r="H143">
        <v>1</v>
      </c>
      <c r="N143" s="1" t="s">
        <v>73</v>
      </c>
      <c r="O143" s="1" t="s">
        <v>253</v>
      </c>
    </row>
    <row r="144" spans="1:15" x14ac:dyDescent="0.65">
      <c r="A144">
        <f t="shared" si="2"/>
        <v>143</v>
      </c>
      <c r="B144" s="8" t="s">
        <v>151</v>
      </c>
      <c r="C144" s="1">
        <v>0</v>
      </c>
      <c r="D144" s="1">
        <v>0</v>
      </c>
      <c r="E144" s="1" t="s">
        <v>189</v>
      </c>
      <c r="F144" s="1" t="s">
        <v>11</v>
      </c>
      <c r="G144" s="1">
        <v>53</v>
      </c>
      <c r="H144">
        <v>1</v>
      </c>
      <c r="N144" s="1" t="s">
        <v>73</v>
      </c>
      <c r="O144" s="1" t="s">
        <v>253</v>
      </c>
    </row>
    <row r="145" spans="1:15" x14ac:dyDescent="0.65">
      <c r="A145">
        <f t="shared" si="2"/>
        <v>144</v>
      </c>
      <c r="B145" s="8" t="s">
        <v>152</v>
      </c>
      <c r="C145" s="1">
        <v>1</v>
      </c>
      <c r="D145" s="1">
        <v>0</v>
      </c>
      <c r="E145" s="1" t="s">
        <v>189</v>
      </c>
      <c r="F145" s="1" t="s">
        <v>11</v>
      </c>
      <c r="G145" s="1">
        <v>27</v>
      </c>
      <c r="H145">
        <v>1</v>
      </c>
      <c r="N145" s="1" t="s">
        <v>73</v>
      </c>
    </row>
    <row r="146" spans="1:15" x14ac:dyDescent="0.65">
      <c r="A146">
        <f t="shared" si="2"/>
        <v>145</v>
      </c>
      <c r="B146" s="8" t="s">
        <v>19</v>
      </c>
      <c r="C146" s="1">
        <v>1</v>
      </c>
      <c r="D146" s="1">
        <v>0</v>
      </c>
      <c r="E146" s="1" t="s">
        <v>189</v>
      </c>
      <c r="F146" s="1" t="s">
        <v>11</v>
      </c>
      <c r="G146" s="1">
        <v>25</v>
      </c>
      <c r="I146">
        <v>1</v>
      </c>
      <c r="N146" s="1" t="s">
        <v>73</v>
      </c>
    </row>
    <row r="147" spans="1:15" x14ac:dyDescent="0.65">
      <c r="A147">
        <f t="shared" si="2"/>
        <v>146</v>
      </c>
      <c r="B147" s="8" t="s">
        <v>22</v>
      </c>
      <c r="C147" s="1">
        <v>1</v>
      </c>
      <c r="D147" s="1">
        <v>0</v>
      </c>
      <c r="E147" s="1" t="s">
        <v>189</v>
      </c>
      <c r="F147" s="1" t="s">
        <v>11</v>
      </c>
      <c r="G147" s="1">
        <v>35</v>
      </c>
      <c r="I147">
        <v>1</v>
      </c>
      <c r="N147" s="1" t="s">
        <v>73</v>
      </c>
      <c r="O147" s="1" t="s">
        <v>253</v>
      </c>
    </row>
    <row r="148" spans="1:15" x14ac:dyDescent="0.65">
      <c r="A148">
        <f t="shared" si="2"/>
        <v>147</v>
      </c>
      <c r="B148" s="8" t="s">
        <v>26</v>
      </c>
      <c r="C148" s="1">
        <v>1</v>
      </c>
      <c r="D148" s="1">
        <v>0</v>
      </c>
      <c r="E148" s="1" t="s">
        <v>177</v>
      </c>
      <c r="F148" s="1" t="s">
        <v>11</v>
      </c>
      <c r="G148" s="1">
        <v>44</v>
      </c>
      <c r="I148">
        <v>1</v>
      </c>
      <c r="N148" s="1" t="s">
        <v>73</v>
      </c>
    </row>
    <row r="149" spans="1:15" x14ac:dyDescent="0.65">
      <c r="A149">
        <f t="shared" si="2"/>
        <v>148</v>
      </c>
      <c r="B149" s="8" t="s">
        <v>30</v>
      </c>
      <c r="C149" s="1">
        <v>1</v>
      </c>
      <c r="D149" s="1">
        <v>0</v>
      </c>
      <c r="E149" s="1" t="s">
        <v>177</v>
      </c>
      <c r="F149" s="1" t="s">
        <v>11</v>
      </c>
      <c r="G149" s="1">
        <v>49</v>
      </c>
      <c r="I149">
        <v>1</v>
      </c>
      <c r="N149" s="1" t="s">
        <v>73</v>
      </c>
    </row>
    <row r="150" spans="1:15" x14ac:dyDescent="0.65">
      <c r="A150">
        <f t="shared" si="2"/>
        <v>149</v>
      </c>
      <c r="B150" s="8" t="s">
        <v>33</v>
      </c>
      <c r="C150" s="1">
        <v>1</v>
      </c>
      <c r="D150" s="1">
        <v>0</v>
      </c>
      <c r="E150" s="1" t="s">
        <v>177</v>
      </c>
      <c r="F150" s="1" t="s">
        <v>11</v>
      </c>
      <c r="G150" s="1">
        <v>52</v>
      </c>
      <c r="I150">
        <v>1</v>
      </c>
      <c r="N150" s="1" t="s">
        <v>73</v>
      </c>
    </row>
    <row r="151" spans="1:15" x14ac:dyDescent="0.65">
      <c r="A151">
        <f t="shared" si="2"/>
        <v>150</v>
      </c>
      <c r="B151" s="8" t="s">
        <v>40</v>
      </c>
      <c r="C151" s="1">
        <v>1</v>
      </c>
      <c r="D151" s="1">
        <v>0</v>
      </c>
      <c r="E151" s="1" t="s">
        <v>177</v>
      </c>
      <c r="F151" s="1" t="s">
        <v>11</v>
      </c>
      <c r="G151" s="1">
        <v>29</v>
      </c>
      <c r="I151">
        <v>1</v>
      </c>
      <c r="N151" s="1" t="s">
        <v>73</v>
      </c>
    </row>
    <row r="152" spans="1:15" x14ac:dyDescent="0.65">
      <c r="A152">
        <f t="shared" si="2"/>
        <v>151</v>
      </c>
      <c r="B152" s="8" t="s">
        <v>55</v>
      </c>
      <c r="C152" s="1">
        <v>1</v>
      </c>
      <c r="D152" s="1">
        <v>0</v>
      </c>
      <c r="E152" s="1" t="s">
        <v>177</v>
      </c>
      <c r="F152" s="1" t="s">
        <v>11</v>
      </c>
      <c r="G152" s="1">
        <v>43</v>
      </c>
      <c r="I152">
        <v>1</v>
      </c>
      <c r="N152" s="1" t="s">
        <v>73</v>
      </c>
    </row>
    <row r="153" spans="1:15" x14ac:dyDescent="0.65">
      <c r="A153">
        <f t="shared" si="2"/>
        <v>152</v>
      </c>
      <c r="B153" s="8" t="s">
        <v>56</v>
      </c>
      <c r="C153" s="1">
        <v>1</v>
      </c>
      <c r="D153" s="1">
        <v>0</v>
      </c>
      <c r="E153" s="1" t="s">
        <v>177</v>
      </c>
      <c r="F153" s="1" t="s">
        <v>11</v>
      </c>
      <c r="G153" s="1">
        <v>43</v>
      </c>
      <c r="I153">
        <v>1</v>
      </c>
      <c r="N153" s="1" t="s">
        <v>73</v>
      </c>
    </row>
    <row r="154" spans="1:15" x14ac:dyDescent="0.65">
      <c r="A154">
        <f t="shared" si="2"/>
        <v>153</v>
      </c>
      <c r="B154" s="8" t="s">
        <v>69</v>
      </c>
      <c r="C154" s="1">
        <v>0</v>
      </c>
      <c r="D154" s="1">
        <v>0</v>
      </c>
      <c r="E154" s="1" t="s">
        <v>177</v>
      </c>
      <c r="F154" s="1" t="s">
        <v>11</v>
      </c>
      <c r="G154" s="1">
        <v>40</v>
      </c>
      <c r="I154">
        <v>1</v>
      </c>
      <c r="N154" s="1" t="s">
        <v>73</v>
      </c>
    </row>
    <row r="155" spans="1:15" x14ac:dyDescent="0.65">
      <c r="A155">
        <f t="shared" si="2"/>
        <v>154</v>
      </c>
      <c r="B155" s="8" t="s">
        <v>71</v>
      </c>
      <c r="C155" s="1">
        <v>1</v>
      </c>
      <c r="D155" s="1">
        <v>0</v>
      </c>
      <c r="E155" s="1" t="s">
        <v>177</v>
      </c>
      <c r="F155" s="1" t="s">
        <v>11</v>
      </c>
      <c r="G155" s="1">
        <v>38</v>
      </c>
      <c r="I155">
        <v>1</v>
      </c>
      <c r="N155" s="1" t="s">
        <v>73</v>
      </c>
    </row>
    <row r="156" spans="1:15" x14ac:dyDescent="0.65">
      <c r="A156">
        <f t="shared" si="2"/>
        <v>155</v>
      </c>
      <c r="B156" s="8" t="s">
        <v>81</v>
      </c>
      <c r="C156" s="1">
        <v>1</v>
      </c>
      <c r="D156" s="1">
        <v>0</v>
      </c>
      <c r="E156" s="1" t="s">
        <v>193</v>
      </c>
      <c r="F156" s="1" t="s">
        <v>11</v>
      </c>
      <c r="G156" s="1">
        <v>48</v>
      </c>
      <c r="I156">
        <v>1</v>
      </c>
      <c r="N156" s="1" t="s">
        <v>73</v>
      </c>
    </row>
    <row r="157" spans="1:15" x14ac:dyDescent="0.65">
      <c r="A157">
        <f t="shared" si="2"/>
        <v>156</v>
      </c>
      <c r="B157" s="8" t="s">
        <v>85</v>
      </c>
      <c r="C157" s="1">
        <v>1</v>
      </c>
      <c r="D157" s="1">
        <v>0</v>
      </c>
      <c r="E157" s="1" t="s">
        <v>193</v>
      </c>
      <c r="F157" s="1" t="s">
        <v>11</v>
      </c>
      <c r="G157" s="1">
        <v>42</v>
      </c>
      <c r="I157">
        <v>1</v>
      </c>
      <c r="N157" s="1" t="s">
        <v>73</v>
      </c>
    </row>
    <row r="158" spans="1:15" x14ac:dyDescent="0.65">
      <c r="A158">
        <f t="shared" si="2"/>
        <v>157</v>
      </c>
      <c r="B158" s="8" t="s">
        <v>86</v>
      </c>
      <c r="C158" s="1">
        <v>1</v>
      </c>
      <c r="D158" s="1">
        <v>0</v>
      </c>
      <c r="E158" s="1" t="s">
        <v>193</v>
      </c>
      <c r="F158" s="1" t="s">
        <v>11</v>
      </c>
      <c r="G158" s="1">
        <v>32</v>
      </c>
      <c r="I158">
        <v>1</v>
      </c>
      <c r="N158" s="1" t="s">
        <v>73</v>
      </c>
    </row>
    <row r="159" spans="1:15" x14ac:dyDescent="0.65">
      <c r="A159">
        <f t="shared" si="2"/>
        <v>158</v>
      </c>
      <c r="B159" s="8" t="s">
        <v>91</v>
      </c>
      <c r="C159" s="1">
        <v>1</v>
      </c>
      <c r="D159" s="1">
        <v>0</v>
      </c>
      <c r="E159" s="1" t="s">
        <v>193</v>
      </c>
      <c r="F159" s="1" t="s">
        <v>11</v>
      </c>
      <c r="G159" s="1">
        <v>51</v>
      </c>
      <c r="I159">
        <v>1</v>
      </c>
      <c r="N159" s="1" t="s">
        <v>73</v>
      </c>
    </row>
    <row r="160" spans="1:15" x14ac:dyDescent="0.65">
      <c r="A160">
        <f t="shared" si="2"/>
        <v>159</v>
      </c>
      <c r="B160" s="8" t="s">
        <v>92</v>
      </c>
      <c r="C160" s="1">
        <v>1</v>
      </c>
      <c r="D160" s="1">
        <v>0</v>
      </c>
      <c r="E160" s="1" t="s">
        <v>193</v>
      </c>
      <c r="F160" s="1" t="s">
        <v>11</v>
      </c>
      <c r="G160" s="1">
        <v>47</v>
      </c>
      <c r="I160">
        <v>1</v>
      </c>
      <c r="N160" s="1" t="s">
        <v>73</v>
      </c>
    </row>
    <row r="161" spans="1:15" x14ac:dyDescent="0.65">
      <c r="A161">
        <f t="shared" si="2"/>
        <v>160</v>
      </c>
      <c r="B161" s="8" t="s">
        <v>96</v>
      </c>
      <c r="C161" s="1">
        <v>1</v>
      </c>
      <c r="D161" s="1">
        <v>0</v>
      </c>
      <c r="E161" s="1" t="s">
        <v>193</v>
      </c>
      <c r="F161" s="1" t="s">
        <v>11</v>
      </c>
      <c r="G161" s="1">
        <v>50</v>
      </c>
      <c r="I161">
        <v>1</v>
      </c>
      <c r="N161" s="1" t="s">
        <v>73</v>
      </c>
    </row>
    <row r="162" spans="1:15" x14ac:dyDescent="0.65">
      <c r="A162">
        <f t="shared" si="2"/>
        <v>161</v>
      </c>
      <c r="B162" s="8" t="s">
        <v>99</v>
      </c>
      <c r="C162" s="1">
        <v>1</v>
      </c>
      <c r="D162" s="1">
        <v>0</v>
      </c>
      <c r="E162" s="1" t="s">
        <v>193</v>
      </c>
      <c r="F162" s="1" t="s">
        <v>11</v>
      </c>
      <c r="G162" s="1">
        <v>27</v>
      </c>
      <c r="I162">
        <v>1</v>
      </c>
      <c r="N162" s="1" t="s">
        <v>73</v>
      </c>
    </row>
    <row r="163" spans="1:15" x14ac:dyDescent="0.65">
      <c r="A163">
        <f t="shared" si="2"/>
        <v>162</v>
      </c>
      <c r="B163" s="8" t="s">
        <v>110</v>
      </c>
      <c r="C163" s="1">
        <v>1</v>
      </c>
      <c r="D163" s="1">
        <v>0</v>
      </c>
      <c r="E163" s="1" t="s">
        <v>190</v>
      </c>
      <c r="F163" s="1" t="s">
        <v>11</v>
      </c>
      <c r="G163" s="1">
        <v>41</v>
      </c>
      <c r="I163">
        <v>1</v>
      </c>
      <c r="N163" s="1" t="s">
        <v>73</v>
      </c>
      <c r="O163" s="1" t="s">
        <v>253</v>
      </c>
    </row>
    <row r="164" spans="1:15" x14ac:dyDescent="0.65">
      <c r="A164">
        <f t="shared" si="2"/>
        <v>163</v>
      </c>
      <c r="B164" s="8" t="s">
        <v>124</v>
      </c>
      <c r="C164" s="1">
        <v>1</v>
      </c>
      <c r="D164" s="1">
        <v>0</v>
      </c>
      <c r="E164" s="1" t="s">
        <v>190</v>
      </c>
      <c r="F164" s="1" t="s">
        <v>11</v>
      </c>
      <c r="G164" s="1">
        <v>30</v>
      </c>
      <c r="I164">
        <v>1</v>
      </c>
      <c r="N164" s="1" t="s">
        <v>73</v>
      </c>
    </row>
    <row r="165" spans="1:15" x14ac:dyDescent="0.65">
      <c r="A165">
        <f t="shared" si="2"/>
        <v>164</v>
      </c>
      <c r="B165" s="8" t="s">
        <v>150</v>
      </c>
      <c r="C165" s="1">
        <v>1</v>
      </c>
      <c r="D165" s="1">
        <v>0</v>
      </c>
      <c r="E165" s="1" t="s">
        <v>190</v>
      </c>
      <c r="F165" s="1" t="s">
        <v>11</v>
      </c>
      <c r="G165" s="1">
        <v>64</v>
      </c>
      <c r="I165">
        <v>1</v>
      </c>
      <c r="N165" s="1" t="s">
        <v>73</v>
      </c>
    </row>
    <row r="166" spans="1:15" x14ac:dyDescent="0.65">
      <c r="A166">
        <f t="shared" si="2"/>
        <v>165</v>
      </c>
      <c r="B166" s="8" t="s">
        <v>25</v>
      </c>
      <c r="C166" s="1">
        <v>1</v>
      </c>
      <c r="D166" s="1">
        <v>0</v>
      </c>
      <c r="E166" s="1" t="s">
        <v>190</v>
      </c>
      <c r="F166" s="1" t="s">
        <v>11</v>
      </c>
      <c r="G166" s="1">
        <v>40</v>
      </c>
      <c r="J166">
        <v>1</v>
      </c>
      <c r="N166" s="1" t="s">
        <v>73</v>
      </c>
    </row>
    <row r="167" spans="1:15" x14ac:dyDescent="0.65">
      <c r="A167">
        <f t="shared" si="2"/>
        <v>166</v>
      </c>
      <c r="B167" s="8" t="s">
        <v>81</v>
      </c>
      <c r="C167" s="1">
        <v>1</v>
      </c>
      <c r="D167" s="1">
        <v>0</v>
      </c>
      <c r="E167" s="1" t="s">
        <v>194</v>
      </c>
      <c r="F167" s="1" t="s">
        <v>11</v>
      </c>
      <c r="G167" s="1">
        <v>48</v>
      </c>
      <c r="J167">
        <v>1</v>
      </c>
      <c r="N167" s="1" t="s">
        <v>73</v>
      </c>
    </row>
    <row r="168" spans="1:15" x14ac:dyDescent="0.65">
      <c r="A168">
        <f t="shared" si="2"/>
        <v>167</v>
      </c>
      <c r="B168" s="8" t="s">
        <v>85</v>
      </c>
      <c r="C168" s="1">
        <v>1</v>
      </c>
      <c r="D168" s="1">
        <v>0</v>
      </c>
      <c r="E168" s="1" t="s">
        <v>194</v>
      </c>
      <c r="F168" s="1" t="s">
        <v>11</v>
      </c>
      <c r="G168" s="1">
        <v>42</v>
      </c>
      <c r="J168">
        <v>1</v>
      </c>
      <c r="N168" s="1" t="s">
        <v>73</v>
      </c>
    </row>
    <row r="169" spans="1:15" x14ac:dyDescent="0.65">
      <c r="A169">
        <f t="shared" si="2"/>
        <v>168</v>
      </c>
      <c r="B169" s="8" t="s">
        <v>86</v>
      </c>
      <c r="C169" s="1">
        <v>1</v>
      </c>
      <c r="D169" s="1">
        <v>0</v>
      </c>
      <c r="E169" s="1" t="s">
        <v>194</v>
      </c>
      <c r="F169" s="1" t="s">
        <v>11</v>
      </c>
      <c r="G169" s="1">
        <v>32</v>
      </c>
      <c r="J169">
        <v>1</v>
      </c>
      <c r="N169" s="1" t="s">
        <v>73</v>
      </c>
    </row>
    <row r="170" spans="1:15" x14ac:dyDescent="0.65">
      <c r="A170">
        <f t="shared" si="2"/>
        <v>169</v>
      </c>
      <c r="B170" s="8" t="s">
        <v>91</v>
      </c>
      <c r="C170" s="1">
        <v>1</v>
      </c>
      <c r="D170" s="1">
        <v>0</v>
      </c>
      <c r="E170" s="1" t="s">
        <v>187</v>
      </c>
      <c r="F170" s="1" t="s">
        <v>11</v>
      </c>
      <c r="G170" s="1">
        <v>51</v>
      </c>
      <c r="J170">
        <v>1</v>
      </c>
      <c r="N170" s="1" t="s">
        <v>73</v>
      </c>
    </row>
    <row r="171" spans="1:15" x14ac:dyDescent="0.65">
      <c r="A171">
        <f t="shared" si="2"/>
        <v>170</v>
      </c>
      <c r="B171" s="8" t="s">
        <v>92</v>
      </c>
      <c r="C171" s="1">
        <v>1</v>
      </c>
      <c r="D171" s="1">
        <v>0</v>
      </c>
      <c r="E171" s="1" t="s">
        <v>187</v>
      </c>
      <c r="F171" s="1" t="s">
        <v>11</v>
      </c>
      <c r="G171" s="1">
        <v>47</v>
      </c>
      <c r="J171">
        <v>1</v>
      </c>
      <c r="N171" s="1" t="s">
        <v>73</v>
      </c>
    </row>
    <row r="172" spans="1:15" x14ac:dyDescent="0.65">
      <c r="A172">
        <f t="shared" si="2"/>
        <v>171</v>
      </c>
      <c r="B172" s="8" t="s">
        <v>25</v>
      </c>
      <c r="C172" s="1">
        <v>1</v>
      </c>
      <c r="D172" s="1">
        <v>0</v>
      </c>
      <c r="E172" s="1" t="s">
        <v>191</v>
      </c>
      <c r="F172" s="1" t="s">
        <v>11</v>
      </c>
      <c r="G172" s="1">
        <v>40</v>
      </c>
      <c r="K172">
        <v>1</v>
      </c>
      <c r="N172" s="1" t="s">
        <v>73</v>
      </c>
    </row>
    <row r="173" spans="1:15" x14ac:dyDescent="0.65">
      <c r="A173">
        <f t="shared" si="2"/>
        <v>172</v>
      </c>
      <c r="B173" s="8" t="s">
        <v>92</v>
      </c>
      <c r="C173" s="1">
        <v>1</v>
      </c>
      <c r="D173" s="1">
        <v>0</v>
      </c>
      <c r="E173" s="1" t="s">
        <v>191</v>
      </c>
      <c r="F173" s="1" t="s">
        <v>11</v>
      </c>
      <c r="G173" s="1">
        <v>47</v>
      </c>
      <c r="K173">
        <v>1</v>
      </c>
      <c r="N173" s="1" t="s">
        <v>73</v>
      </c>
    </row>
    <row r="174" spans="1:15" x14ac:dyDescent="0.65">
      <c r="A174">
        <f t="shared" si="2"/>
        <v>173</v>
      </c>
      <c r="B174" s="8" t="s">
        <v>153</v>
      </c>
      <c r="C174" s="1">
        <v>1</v>
      </c>
      <c r="D174" s="1">
        <v>0</v>
      </c>
      <c r="E174" s="1" t="s">
        <v>185</v>
      </c>
      <c r="F174" s="1" t="s">
        <v>11</v>
      </c>
      <c r="G174" s="1">
        <v>37</v>
      </c>
      <c r="H174">
        <v>1</v>
      </c>
      <c r="N174" s="1" t="s">
        <v>154</v>
      </c>
    </row>
    <row r="175" spans="1:15" x14ac:dyDescent="0.65">
      <c r="A175">
        <f t="shared" si="2"/>
        <v>174</v>
      </c>
      <c r="B175" s="8" t="s">
        <v>155</v>
      </c>
      <c r="C175" s="1">
        <v>1</v>
      </c>
      <c r="D175" s="1">
        <v>0</v>
      </c>
      <c r="E175" s="1" t="s">
        <v>185</v>
      </c>
      <c r="F175" s="1" t="s">
        <v>11</v>
      </c>
      <c r="G175" s="1">
        <v>25</v>
      </c>
      <c r="H175">
        <v>1</v>
      </c>
      <c r="N175" s="1" t="s">
        <v>154</v>
      </c>
    </row>
    <row r="176" spans="1:15" x14ac:dyDescent="0.65">
      <c r="A176">
        <f t="shared" si="2"/>
        <v>175</v>
      </c>
      <c r="B176" s="8" t="s">
        <v>156</v>
      </c>
      <c r="C176" s="1">
        <v>1</v>
      </c>
      <c r="D176" s="1">
        <v>0</v>
      </c>
      <c r="E176" s="1" t="s">
        <v>195</v>
      </c>
      <c r="F176" s="1" t="s">
        <v>11</v>
      </c>
      <c r="G176" s="1">
        <v>28</v>
      </c>
      <c r="H176">
        <v>1</v>
      </c>
      <c r="N176" s="1" t="s">
        <v>154</v>
      </c>
    </row>
    <row r="177" spans="1:14" x14ac:dyDescent="0.65">
      <c r="A177">
        <f t="shared" si="2"/>
        <v>176</v>
      </c>
      <c r="B177" s="8" t="s">
        <v>157</v>
      </c>
      <c r="C177" s="1">
        <v>1</v>
      </c>
      <c r="D177" s="1">
        <v>0</v>
      </c>
      <c r="E177" s="1" t="s">
        <v>195</v>
      </c>
      <c r="F177" s="1" t="s">
        <v>11</v>
      </c>
      <c r="G177" s="1">
        <v>35</v>
      </c>
      <c r="H177">
        <v>1</v>
      </c>
      <c r="N177" s="1" t="s">
        <v>154</v>
      </c>
    </row>
    <row r="178" spans="1:14" x14ac:dyDescent="0.65">
      <c r="A178">
        <f t="shared" si="2"/>
        <v>177</v>
      </c>
      <c r="B178" s="8" t="s">
        <v>158</v>
      </c>
      <c r="C178" s="1">
        <v>1</v>
      </c>
      <c r="D178" s="1">
        <v>0</v>
      </c>
      <c r="E178" s="1" t="s">
        <v>185</v>
      </c>
      <c r="F178" s="1" t="s">
        <v>11</v>
      </c>
      <c r="G178" s="1">
        <v>47</v>
      </c>
      <c r="H178">
        <v>1</v>
      </c>
      <c r="N178" s="1" t="s">
        <v>154</v>
      </c>
    </row>
    <row r="179" spans="1:14" x14ac:dyDescent="0.65">
      <c r="A179">
        <f t="shared" si="2"/>
        <v>178</v>
      </c>
      <c r="B179" s="8" t="s">
        <v>159</v>
      </c>
      <c r="C179" s="1">
        <v>1</v>
      </c>
      <c r="D179" s="1">
        <v>0</v>
      </c>
      <c r="E179" s="1" t="s">
        <v>185</v>
      </c>
      <c r="F179" s="1" t="s">
        <v>11</v>
      </c>
      <c r="G179" s="1">
        <v>41</v>
      </c>
      <c r="H179">
        <v>1</v>
      </c>
      <c r="N179" s="1" t="s">
        <v>154</v>
      </c>
    </row>
    <row r="180" spans="1:14" x14ac:dyDescent="0.65">
      <c r="A180">
        <f t="shared" si="2"/>
        <v>179</v>
      </c>
      <c r="B180" s="8" t="s">
        <v>160</v>
      </c>
      <c r="C180" s="1">
        <v>1</v>
      </c>
      <c r="D180" s="1">
        <v>0</v>
      </c>
      <c r="E180" s="1" t="s">
        <v>185</v>
      </c>
      <c r="F180" s="1" t="s">
        <v>11</v>
      </c>
      <c r="G180" s="1">
        <v>47</v>
      </c>
      <c r="H180">
        <v>1</v>
      </c>
      <c r="N180" s="1" t="s">
        <v>154</v>
      </c>
    </row>
    <row r="181" spans="1:14" x14ac:dyDescent="0.65">
      <c r="A181">
        <f t="shared" si="2"/>
        <v>180</v>
      </c>
      <c r="B181" s="8" t="s">
        <v>161</v>
      </c>
      <c r="C181" s="1">
        <v>1</v>
      </c>
      <c r="D181" s="1">
        <v>0</v>
      </c>
      <c r="E181" s="1" t="s">
        <v>185</v>
      </c>
      <c r="F181" s="1" t="s">
        <v>11</v>
      </c>
      <c r="G181" s="1">
        <v>50</v>
      </c>
      <c r="H181">
        <v>1</v>
      </c>
      <c r="N181" s="1" t="s">
        <v>154</v>
      </c>
    </row>
    <row r="182" spans="1:14" x14ac:dyDescent="0.65">
      <c r="A182">
        <f t="shared" si="2"/>
        <v>181</v>
      </c>
      <c r="B182" s="8" t="s">
        <v>162</v>
      </c>
      <c r="C182" s="1">
        <v>1</v>
      </c>
      <c r="D182" s="1">
        <v>0</v>
      </c>
      <c r="E182" s="1" t="s">
        <v>185</v>
      </c>
      <c r="F182" s="1" t="s">
        <v>11</v>
      </c>
      <c r="G182" s="1">
        <v>26</v>
      </c>
      <c r="H182">
        <v>1</v>
      </c>
      <c r="N182" s="1" t="s">
        <v>154</v>
      </c>
    </row>
    <row r="183" spans="1:14" x14ac:dyDescent="0.65">
      <c r="A183">
        <f t="shared" si="2"/>
        <v>182</v>
      </c>
      <c r="B183" s="8" t="s">
        <v>163</v>
      </c>
      <c r="C183" s="1">
        <v>1</v>
      </c>
      <c r="D183" s="1">
        <v>0</v>
      </c>
      <c r="E183" s="1" t="s">
        <v>195</v>
      </c>
      <c r="F183" s="1" t="s">
        <v>11</v>
      </c>
      <c r="G183" s="1">
        <v>36</v>
      </c>
      <c r="H183">
        <v>1</v>
      </c>
      <c r="N183" s="1" t="s">
        <v>154</v>
      </c>
    </row>
    <row r="184" spans="1:14" x14ac:dyDescent="0.65">
      <c r="A184">
        <f t="shared" si="2"/>
        <v>183</v>
      </c>
      <c r="B184" s="8" t="s">
        <v>164</v>
      </c>
      <c r="C184" s="1">
        <v>1</v>
      </c>
      <c r="D184" s="1">
        <v>0</v>
      </c>
      <c r="E184" s="1" t="s">
        <v>195</v>
      </c>
      <c r="F184" s="1" t="s">
        <v>11</v>
      </c>
      <c r="G184" s="1">
        <v>31</v>
      </c>
      <c r="H184">
        <v>1</v>
      </c>
      <c r="N184" s="1" t="s">
        <v>154</v>
      </c>
    </row>
    <row r="185" spans="1:14" x14ac:dyDescent="0.65">
      <c r="A185">
        <f t="shared" si="2"/>
        <v>184</v>
      </c>
      <c r="B185" s="8" t="s">
        <v>165</v>
      </c>
      <c r="C185" s="1">
        <v>1</v>
      </c>
      <c r="D185" s="1">
        <v>0</v>
      </c>
      <c r="E185" s="1" t="s">
        <v>185</v>
      </c>
      <c r="F185" s="1" t="s">
        <v>11</v>
      </c>
      <c r="G185" s="1">
        <v>18</v>
      </c>
      <c r="H185">
        <v>1</v>
      </c>
      <c r="N185" s="1" t="s">
        <v>154</v>
      </c>
    </row>
    <row r="186" spans="1:14" x14ac:dyDescent="0.65">
      <c r="A186">
        <f t="shared" si="2"/>
        <v>185</v>
      </c>
      <c r="B186" s="8" t="s">
        <v>166</v>
      </c>
      <c r="C186" s="1">
        <v>1</v>
      </c>
      <c r="D186" s="1">
        <v>0</v>
      </c>
      <c r="E186" s="1" t="s">
        <v>190</v>
      </c>
      <c r="F186" s="1" t="s">
        <v>11</v>
      </c>
      <c r="G186" s="1">
        <v>39</v>
      </c>
      <c r="H186">
        <v>1</v>
      </c>
      <c r="N186" s="1" t="s">
        <v>154</v>
      </c>
    </row>
    <row r="187" spans="1:14" x14ac:dyDescent="0.65">
      <c r="A187">
        <f t="shared" si="2"/>
        <v>186</v>
      </c>
      <c r="B187" s="8" t="s">
        <v>167</v>
      </c>
      <c r="C187" s="1">
        <v>1</v>
      </c>
      <c r="D187" s="1">
        <v>0</v>
      </c>
      <c r="E187" s="1" t="s">
        <v>191</v>
      </c>
      <c r="F187" s="1" t="s">
        <v>11</v>
      </c>
      <c r="G187" s="1">
        <v>21</v>
      </c>
      <c r="H187">
        <v>1</v>
      </c>
      <c r="N187" s="1" t="s">
        <v>154</v>
      </c>
    </row>
    <row r="188" spans="1:14" x14ac:dyDescent="0.65">
      <c r="A188">
        <f t="shared" si="2"/>
        <v>187</v>
      </c>
      <c r="B188" s="8" t="s">
        <v>168</v>
      </c>
      <c r="C188" s="1">
        <v>1</v>
      </c>
      <c r="D188" s="1">
        <v>0</v>
      </c>
      <c r="E188" s="1" t="s">
        <v>177</v>
      </c>
      <c r="F188" s="1" t="s">
        <v>11</v>
      </c>
      <c r="G188" s="1">
        <v>32</v>
      </c>
      <c r="H188">
        <v>1</v>
      </c>
      <c r="N188" s="1" t="s">
        <v>154</v>
      </c>
    </row>
    <row r="189" spans="1:14" x14ac:dyDescent="0.65">
      <c r="A189">
        <f t="shared" si="2"/>
        <v>188</v>
      </c>
      <c r="B189" s="8" t="s">
        <v>126</v>
      </c>
      <c r="C189" s="1">
        <v>1</v>
      </c>
      <c r="D189" s="1">
        <v>0</v>
      </c>
      <c r="E189" s="1" t="s">
        <v>195</v>
      </c>
      <c r="F189" s="1" t="s">
        <v>11</v>
      </c>
      <c r="G189" s="1">
        <v>37</v>
      </c>
      <c r="I189">
        <v>1</v>
      </c>
      <c r="N189" s="1" t="s">
        <v>154</v>
      </c>
    </row>
    <row r="190" spans="1:14" x14ac:dyDescent="0.65">
      <c r="A190">
        <f t="shared" si="2"/>
        <v>189</v>
      </c>
      <c r="B190" s="8" t="s">
        <v>169</v>
      </c>
      <c r="C190" s="1">
        <v>1</v>
      </c>
      <c r="D190" s="1">
        <v>0</v>
      </c>
      <c r="E190" s="1" t="s">
        <v>186</v>
      </c>
      <c r="F190" s="1" t="s">
        <v>11</v>
      </c>
      <c r="G190" s="1">
        <v>42</v>
      </c>
      <c r="I190">
        <v>1</v>
      </c>
      <c r="N190" s="1" t="s">
        <v>154</v>
      </c>
    </row>
    <row r="191" spans="1:14" x14ac:dyDescent="0.65">
      <c r="A191">
        <f t="shared" si="2"/>
        <v>190</v>
      </c>
      <c r="B191" s="10" t="s">
        <v>105</v>
      </c>
      <c r="C191" s="1">
        <v>1</v>
      </c>
      <c r="D191" s="1">
        <v>0</v>
      </c>
      <c r="E191" s="1" t="s">
        <v>191</v>
      </c>
      <c r="F191" s="1" t="s">
        <v>11</v>
      </c>
      <c r="G191" s="1">
        <v>49</v>
      </c>
      <c r="I191">
        <v>1</v>
      </c>
      <c r="N191" s="1" t="s">
        <v>154</v>
      </c>
    </row>
    <row r="192" spans="1:14" x14ac:dyDescent="0.65">
      <c r="A192">
        <f t="shared" si="2"/>
        <v>191</v>
      </c>
      <c r="B192" s="8" t="s">
        <v>134</v>
      </c>
      <c r="C192" s="1">
        <v>1</v>
      </c>
      <c r="D192" s="1">
        <v>0</v>
      </c>
      <c r="E192" s="1" t="s">
        <v>177</v>
      </c>
      <c r="F192" s="1" t="s">
        <v>11</v>
      </c>
      <c r="G192" s="1">
        <v>46</v>
      </c>
      <c r="I192">
        <v>1</v>
      </c>
      <c r="N192" s="1" t="s">
        <v>154</v>
      </c>
    </row>
    <row r="193" spans="1:14" x14ac:dyDescent="0.65">
      <c r="A193">
        <f t="shared" si="2"/>
        <v>192</v>
      </c>
      <c r="B193" s="8" t="s">
        <v>170</v>
      </c>
      <c r="C193" s="1">
        <v>1</v>
      </c>
      <c r="D193" s="1">
        <v>0</v>
      </c>
      <c r="E193" s="1" t="s">
        <v>185</v>
      </c>
      <c r="F193" s="1" t="s">
        <v>11</v>
      </c>
      <c r="G193" s="1">
        <v>50</v>
      </c>
      <c r="J193">
        <v>1</v>
      </c>
      <c r="N193" s="1" t="s">
        <v>154</v>
      </c>
    </row>
    <row r="194" spans="1:14" x14ac:dyDescent="0.65">
      <c r="A194">
        <f t="shared" si="2"/>
        <v>193</v>
      </c>
      <c r="B194" s="8" t="s">
        <v>171</v>
      </c>
      <c r="C194" s="1">
        <v>1</v>
      </c>
      <c r="D194" s="1">
        <v>0</v>
      </c>
      <c r="E194" s="1" t="s">
        <v>195</v>
      </c>
      <c r="F194" s="1" t="s">
        <v>11</v>
      </c>
      <c r="G194" s="1">
        <v>44</v>
      </c>
      <c r="J194">
        <v>1</v>
      </c>
      <c r="N194" s="1" t="s">
        <v>154</v>
      </c>
    </row>
    <row r="195" spans="1:14" x14ac:dyDescent="0.65">
      <c r="A195">
        <f t="shared" ref="A195" si="3">ROW(A194)</f>
        <v>194</v>
      </c>
      <c r="B195" s="8" t="s">
        <v>172</v>
      </c>
      <c r="C195" s="1">
        <v>1</v>
      </c>
      <c r="D195" s="1">
        <v>0</v>
      </c>
      <c r="E195" s="1" t="s">
        <v>185</v>
      </c>
      <c r="F195" s="1" t="s">
        <v>11</v>
      </c>
      <c r="G195" s="1">
        <v>40</v>
      </c>
      <c r="L195">
        <v>1</v>
      </c>
      <c r="N195" s="1" t="s">
        <v>154</v>
      </c>
    </row>
    <row r="196" spans="1:14" x14ac:dyDescent="0.65">
      <c r="A196">
        <v>195</v>
      </c>
      <c r="B196" s="8" t="s">
        <v>173</v>
      </c>
      <c r="C196" s="1">
        <v>1</v>
      </c>
      <c r="D196" s="1">
        <v>0</v>
      </c>
      <c r="E196" s="1" t="s">
        <v>189</v>
      </c>
      <c r="F196" s="1" t="s">
        <v>11</v>
      </c>
      <c r="G196" s="1">
        <v>33</v>
      </c>
      <c r="H196">
        <v>1</v>
      </c>
      <c r="N196" s="1" t="s">
        <v>154</v>
      </c>
    </row>
    <row r="197" spans="1:14" x14ac:dyDescent="0.65">
      <c r="A197">
        <v>196</v>
      </c>
      <c r="B197" s="9" t="s">
        <v>174</v>
      </c>
      <c r="C197" s="1">
        <v>1</v>
      </c>
      <c r="D197" s="1">
        <v>0</v>
      </c>
      <c r="E197" s="1" t="s">
        <v>195</v>
      </c>
      <c r="F197" s="1" t="s">
        <v>11</v>
      </c>
      <c r="G197" s="1">
        <v>41</v>
      </c>
      <c r="H197">
        <v>1</v>
      </c>
      <c r="N197" s="1" t="s">
        <v>154</v>
      </c>
    </row>
    <row r="198" spans="1:14" x14ac:dyDescent="0.65">
      <c r="A198">
        <v>197</v>
      </c>
      <c r="B198" s="9" t="s">
        <v>204</v>
      </c>
      <c r="C198" s="1">
        <v>1</v>
      </c>
      <c r="D198" s="1">
        <v>0</v>
      </c>
      <c r="E198" s="1" t="s">
        <v>195</v>
      </c>
      <c r="F198" s="8" t="s">
        <v>11</v>
      </c>
      <c r="G198" s="8">
        <v>35</v>
      </c>
      <c r="H198">
        <v>1</v>
      </c>
      <c r="N198" s="1" t="s">
        <v>154</v>
      </c>
    </row>
    <row r="199" spans="1:14" x14ac:dyDescent="0.65">
      <c r="A199">
        <v>198</v>
      </c>
      <c r="B199" s="9" t="s">
        <v>205</v>
      </c>
      <c r="C199" s="1">
        <v>1</v>
      </c>
      <c r="D199" s="1">
        <v>0</v>
      </c>
      <c r="E199" s="1" t="s">
        <v>206</v>
      </c>
      <c r="F199" s="8" t="s">
        <v>11</v>
      </c>
      <c r="G199" s="8">
        <v>36</v>
      </c>
      <c r="H199">
        <v>1</v>
      </c>
      <c r="N199" s="1" t="s">
        <v>154</v>
      </c>
    </row>
    <row r="200" spans="1:14" x14ac:dyDescent="0.65">
      <c r="A200">
        <v>199</v>
      </c>
      <c r="B200" s="9" t="s">
        <v>207</v>
      </c>
      <c r="C200" s="1">
        <v>1</v>
      </c>
      <c r="D200" s="1">
        <v>0</v>
      </c>
      <c r="E200" s="1" t="s">
        <v>190</v>
      </c>
      <c r="F200" s="8" t="s">
        <v>11</v>
      </c>
      <c r="G200" s="8">
        <v>38</v>
      </c>
      <c r="I200">
        <v>1</v>
      </c>
      <c r="N200" s="1" t="s">
        <v>154</v>
      </c>
    </row>
    <row r="201" spans="1:14" x14ac:dyDescent="0.65">
      <c r="A201">
        <v>200</v>
      </c>
      <c r="B201" s="9" t="s">
        <v>49</v>
      </c>
      <c r="C201" s="1">
        <v>1</v>
      </c>
      <c r="D201" s="1">
        <v>0</v>
      </c>
      <c r="E201" s="1" t="s">
        <v>186</v>
      </c>
      <c r="F201" s="8" t="s">
        <v>11</v>
      </c>
      <c r="G201" s="8">
        <v>27</v>
      </c>
      <c r="J201">
        <v>1</v>
      </c>
      <c r="N201" s="1" t="s">
        <v>154</v>
      </c>
    </row>
    <row r="202" spans="1:14" x14ac:dyDescent="0.65">
      <c r="A202">
        <v>201</v>
      </c>
      <c r="B202" s="9" t="s">
        <v>208</v>
      </c>
      <c r="C202" s="1">
        <v>1</v>
      </c>
      <c r="D202" s="1">
        <v>0</v>
      </c>
      <c r="E202" s="1" t="s">
        <v>186</v>
      </c>
      <c r="F202" s="8" t="s">
        <v>11</v>
      </c>
      <c r="G202" s="8">
        <v>47</v>
      </c>
      <c r="H202">
        <v>1</v>
      </c>
      <c r="N202" s="1" t="s">
        <v>154</v>
      </c>
    </row>
    <row r="203" spans="1:14" x14ac:dyDescent="0.65">
      <c r="A203">
        <v>202</v>
      </c>
      <c r="B203" s="9" t="s">
        <v>209</v>
      </c>
      <c r="C203" s="1">
        <v>0</v>
      </c>
      <c r="D203" s="1">
        <v>0</v>
      </c>
      <c r="E203" s="1" t="s">
        <v>189</v>
      </c>
      <c r="F203" s="8" t="s">
        <v>11</v>
      </c>
      <c r="G203" s="8">
        <v>79</v>
      </c>
      <c r="H203">
        <v>1</v>
      </c>
      <c r="N203" s="1" t="s">
        <v>154</v>
      </c>
    </row>
    <row r="204" spans="1:14" x14ac:dyDescent="0.65">
      <c r="A204">
        <v>203</v>
      </c>
      <c r="B204" s="9" t="s">
        <v>171</v>
      </c>
      <c r="C204" s="1">
        <v>1</v>
      </c>
      <c r="D204" s="1">
        <v>0</v>
      </c>
      <c r="E204" s="1" t="s">
        <v>185</v>
      </c>
      <c r="F204" s="8" t="s">
        <v>11</v>
      </c>
      <c r="G204" s="8">
        <v>44</v>
      </c>
      <c r="K204">
        <v>1</v>
      </c>
      <c r="N204" s="1" t="s">
        <v>154</v>
      </c>
    </row>
    <row r="205" spans="1:14" x14ac:dyDescent="0.65">
      <c r="A205">
        <v>204</v>
      </c>
      <c r="B205" s="9" t="s">
        <v>43</v>
      </c>
      <c r="C205" s="1">
        <v>1</v>
      </c>
      <c r="D205" s="1">
        <v>0</v>
      </c>
      <c r="E205" s="1" t="s">
        <v>185</v>
      </c>
      <c r="F205" s="8" t="s">
        <v>11</v>
      </c>
      <c r="G205" s="8">
        <v>42</v>
      </c>
      <c r="J205">
        <v>1</v>
      </c>
      <c r="N205" s="1" t="s">
        <v>154</v>
      </c>
    </row>
    <row r="206" spans="1:14" x14ac:dyDescent="0.65">
      <c r="A206">
        <v>205</v>
      </c>
      <c r="B206" s="9" t="s">
        <v>210</v>
      </c>
      <c r="C206" s="1">
        <v>0</v>
      </c>
      <c r="D206" s="1">
        <v>0</v>
      </c>
      <c r="E206" s="1" t="s">
        <v>187</v>
      </c>
      <c r="F206" s="8" t="s">
        <v>11</v>
      </c>
      <c r="G206" s="8">
        <v>16</v>
      </c>
      <c r="H206">
        <v>1</v>
      </c>
      <c r="N206" s="1" t="s">
        <v>154</v>
      </c>
    </row>
    <row r="207" spans="1:14" x14ac:dyDescent="0.65">
      <c r="A207">
        <v>206</v>
      </c>
      <c r="B207" s="9" t="s">
        <v>62</v>
      </c>
      <c r="C207" s="1">
        <v>1</v>
      </c>
      <c r="D207" s="1">
        <v>0</v>
      </c>
      <c r="E207" s="1" t="s">
        <v>185</v>
      </c>
      <c r="F207" s="8" t="s">
        <v>11</v>
      </c>
      <c r="G207" s="8">
        <v>30</v>
      </c>
      <c r="I207">
        <v>1</v>
      </c>
      <c r="N207" s="1" t="s">
        <v>154</v>
      </c>
    </row>
    <row r="208" spans="1:14" x14ac:dyDescent="0.65">
      <c r="A208">
        <v>207</v>
      </c>
      <c r="B208" s="9" t="s">
        <v>86</v>
      </c>
      <c r="C208" s="1">
        <v>1</v>
      </c>
      <c r="D208" s="1">
        <v>0</v>
      </c>
      <c r="E208" s="1" t="s">
        <v>186</v>
      </c>
      <c r="F208" s="8" t="s">
        <v>11</v>
      </c>
      <c r="G208" s="8">
        <v>32</v>
      </c>
      <c r="K208">
        <v>1</v>
      </c>
      <c r="N208" s="1" t="s">
        <v>154</v>
      </c>
    </row>
    <row r="209" spans="1:15" x14ac:dyDescent="0.65">
      <c r="A209">
        <v>208</v>
      </c>
      <c r="B209" s="9" t="s">
        <v>211</v>
      </c>
      <c r="C209" s="1">
        <v>1</v>
      </c>
      <c r="D209" s="1">
        <v>0</v>
      </c>
      <c r="E209" s="1" t="s">
        <v>186</v>
      </c>
      <c r="F209" s="8" t="s">
        <v>11</v>
      </c>
      <c r="G209" s="8">
        <v>43</v>
      </c>
      <c r="I209">
        <v>1</v>
      </c>
      <c r="N209" s="1" t="s">
        <v>154</v>
      </c>
    </row>
    <row r="210" spans="1:15" x14ac:dyDescent="0.65">
      <c r="A210">
        <v>209</v>
      </c>
      <c r="B210" s="9" t="s">
        <v>212</v>
      </c>
      <c r="C210" s="1">
        <v>1</v>
      </c>
      <c r="D210" s="1">
        <v>0</v>
      </c>
      <c r="E210" s="1" t="s">
        <v>186</v>
      </c>
      <c r="F210" s="8" t="s">
        <v>11</v>
      </c>
      <c r="G210" s="8">
        <v>44</v>
      </c>
      <c r="H210">
        <v>1</v>
      </c>
      <c r="N210" s="1" t="s">
        <v>154</v>
      </c>
    </row>
    <row r="211" spans="1:15" x14ac:dyDescent="0.65">
      <c r="A211">
        <v>210</v>
      </c>
      <c r="B211" s="9" t="s">
        <v>142</v>
      </c>
      <c r="C211" s="1">
        <v>1</v>
      </c>
      <c r="D211" s="1">
        <v>0</v>
      </c>
      <c r="E211" s="1" t="s">
        <v>195</v>
      </c>
      <c r="F211" s="8" t="s">
        <v>11</v>
      </c>
      <c r="G211" s="8">
        <v>24</v>
      </c>
      <c r="I211">
        <v>1</v>
      </c>
      <c r="N211" s="1" t="s">
        <v>154</v>
      </c>
    </row>
    <row r="212" spans="1:15" x14ac:dyDescent="0.65">
      <c r="A212">
        <v>211</v>
      </c>
      <c r="B212" s="9" t="s">
        <v>150</v>
      </c>
      <c r="C212" s="1">
        <v>1</v>
      </c>
      <c r="D212" s="1">
        <v>0</v>
      </c>
      <c r="E212" s="1" t="s">
        <v>185</v>
      </c>
      <c r="F212" s="8" t="s">
        <v>11</v>
      </c>
      <c r="G212" s="8">
        <v>64</v>
      </c>
      <c r="J212">
        <v>1</v>
      </c>
      <c r="N212" s="1" t="s">
        <v>154</v>
      </c>
    </row>
    <row r="213" spans="1:15" x14ac:dyDescent="0.65">
      <c r="A213">
        <v>212</v>
      </c>
      <c r="B213" s="9" t="s">
        <v>213</v>
      </c>
      <c r="C213" s="1">
        <v>1</v>
      </c>
      <c r="D213" s="1">
        <v>0</v>
      </c>
      <c r="E213" s="1" t="s">
        <v>195</v>
      </c>
      <c r="F213" s="8" t="s">
        <v>11</v>
      </c>
      <c r="G213" s="8">
        <v>30</v>
      </c>
      <c r="H213">
        <v>1</v>
      </c>
      <c r="N213" s="1" t="s">
        <v>154</v>
      </c>
    </row>
    <row r="214" spans="1:15" x14ac:dyDescent="0.65">
      <c r="A214" s="20">
        <v>213</v>
      </c>
      <c r="B214" s="21" t="s">
        <v>214</v>
      </c>
      <c r="C214" s="22"/>
      <c r="D214" s="22"/>
      <c r="E214" s="22" t="s">
        <v>195</v>
      </c>
      <c r="F214" s="22" t="s">
        <v>11</v>
      </c>
      <c r="G214" s="22">
        <v>0</v>
      </c>
      <c r="H214" s="20">
        <v>1</v>
      </c>
      <c r="I214" s="20"/>
      <c r="J214" s="20"/>
      <c r="K214" s="20"/>
      <c r="L214" s="20"/>
      <c r="M214" s="20"/>
      <c r="N214" s="22" t="s">
        <v>154</v>
      </c>
      <c r="O214" s="20"/>
    </row>
    <row r="215" spans="1:15" x14ac:dyDescent="0.65">
      <c r="A215">
        <v>214</v>
      </c>
      <c r="B215" s="9" t="s">
        <v>215</v>
      </c>
      <c r="C215" s="1">
        <v>1</v>
      </c>
      <c r="D215" s="1">
        <v>0</v>
      </c>
      <c r="E215" s="1" t="s">
        <v>185</v>
      </c>
      <c r="F215" s="8" t="s">
        <v>11</v>
      </c>
      <c r="G215" s="8">
        <v>38</v>
      </c>
      <c r="H215">
        <v>1</v>
      </c>
      <c r="N215" s="1" t="s">
        <v>154</v>
      </c>
    </row>
    <row r="216" spans="1:15" x14ac:dyDescent="0.65">
      <c r="A216">
        <v>215</v>
      </c>
      <c r="B216" s="9" t="s">
        <v>216</v>
      </c>
      <c r="C216" s="1">
        <v>0</v>
      </c>
      <c r="D216" s="1">
        <v>0</v>
      </c>
      <c r="E216" s="1" t="s">
        <v>206</v>
      </c>
      <c r="F216" s="8" t="s">
        <v>11</v>
      </c>
      <c r="G216" s="8">
        <v>42</v>
      </c>
      <c r="H216">
        <v>1</v>
      </c>
      <c r="N216" s="1" t="s">
        <v>154</v>
      </c>
    </row>
    <row r="217" spans="1:15" x14ac:dyDescent="0.65">
      <c r="A217" s="18">
        <v>216</v>
      </c>
      <c r="B217" s="9" t="s">
        <v>247</v>
      </c>
      <c r="C217" s="9">
        <v>0</v>
      </c>
      <c r="D217" s="9">
        <v>0</v>
      </c>
      <c r="E217" s="9" t="s">
        <v>248</v>
      </c>
      <c r="F217" s="9" t="s">
        <v>11</v>
      </c>
      <c r="G217" s="9">
        <v>61</v>
      </c>
      <c r="H217" s="18">
        <v>1</v>
      </c>
      <c r="I217" s="18"/>
      <c r="J217" s="18"/>
      <c r="K217" s="18"/>
      <c r="L217" s="18"/>
      <c r="M217" s="18"/>
      <c r="N217" s="9" t="s">
        <v>154</v>
      </c>
      <c r="O217" s="23"/>
    </row>
    <row r="218" spans="1:15" x14ac:dyDescent="0.65">
      <c r="A218" s="7">
        <v>217</v>
      </c>
      <c r="B218" s="9" t="s">
        <v>249</v>
      </c>
      <c r="C218" s="19">
        <v>1</v>
      </c>
      <c r="D218" s="19">
        <v>0</v>
      </c>
      <c r="E218" s="19" t="s">
        <v>177</v>
      </c>
      <c r="F218" s="9" t="s">
        <v>11</v>
      </c>
      <c r="G218" s="9">
        <v>27</v>
      </c>
      <c r="H218" s="7">
        <v>1</v>
      </c>
      <c r="I218" s="7"/>
      <c r="J218" s="7"/>
      <c r="K218" s="7"/>
      <c r="L218" s="7"/>
      <c r="M218" s="7"/>
      <c r="N218" s="19" t="s">
        <v>154</v>
      </c>
    </row>
    <row r="219" spans="1:15" x14ac:dyDescent="0.65">
      <c r="A219" s="7">
        <v>218</v>
      </c>
      <c r="B219" s="9" t="s">
        <v>254</v>
      </c>
      <c r="C219" s="19">
        <v>1</v>
      </c>
      <c r="D219" s="19">
        <v>0</v>
      </c>
      <c r="E219" s="19" t="s">
        <v>186</v>
      </c>
      <c r="F219" s="9" t="s">
        <v>11</v>
      </c>
      <c r="G219" s="9">
        <v>28</v>
      </c>
      <c r="H219" s="7">
        <v>1</v>
      </c>
      <c r="I219" s="7"/>
      <c r="J219" s="7"/>
      <c r="K219" s="7"/>
      <c r="L219" s="7"/>
      <c r="M219" s="7"/>
      <c r="N219" s="19" t="s">
        <v>154</v>
      </c>
      <c r="O219" s="7"/>
    </row>
    <row r="220" spans="1:15" x14ac:dyDescent="0.65">
      <c r="A220" s="7">
        <v>219</v>
      </c>
      <c r="B220" s="9" t="s">
        <v>255</v>
      </c>
      <c r="C220" s="19">
        <v>1</v>
      </c>
      <c r="D220" s="19">
        <v>0</v>
      </c>
      <c r="E220" s="19" t="s">
        <v>256</v>
      </c>
      <c r="F220" s="9" t="s">
        <v>11</v>
      </c>
      <c r="G220" s="9">
        <v>36</v>
      </c>
      <c r="H220" s="7">
        <v>1</v>
      </c>
      <c r="I220" s="7"/>
      <c r="J220" s="7"/>
      <c r="K220" s="7"/>
      <c r="L220" s="7"/>
      <c r="M220" s="7"/>
      <c r="N220" s="19" t="s">
        <v>154</v>
      </c>
      <c r="O220" s="7"/>
    </row>
    <row r="221" spans="1:15" x14ac:dyDescent="0.65">
      <c r="A221" s="7">
        <v>220</v>
      </c>
      <c r="B221" s="9" t="s">
        <v>49</v>
      </c>
      <c r="C221" s="19">
        <v>1</v>
      </c>
      <c r="D221" s="19">
        <v>0</v>
      </c>
      <c r="E221" s="19" t="s">
        <v>256</v>
      </c>
      <c r="F221" s="9" t="s">
        <v>11</v>
      </c>
      <c r="G221" s="9">
        <v>27</v>
      </c>
      <c r="H221" s="7"/>
      <c r="I221" s="7"/>
      <c r="J221" s="7"/>
      <c r="K221" s="7">
        <v>1</v>
      </c>
      <c r="L221" s="7"/>
      <c r="M221" s="7"/>
      <c r="N221" s="19" t="s">
        <v>154</v>
      </c>
      <c r="O221" s="7"/>
    </row>
    <row r="222" spans="1:15" x14ac:dyDescent="0.65">
      <c r="A222" s="7">
        <v>221</v>
      </c>
      <c r="B222" s="9" t="s">
        <v>159</v>
      </c>
      <c r="C222" s="19">
        <v>1</v>
      </c>
      <c r="D222" s="19">
        <v>0</v>
      </c>
      <c r="E222" s="19" t="s">
        <v>186</v>
      </c>
      <c r="F222" s="9" t="s">
        <v>11</v>
      </c>
      <c r="G222" s="9">
        <v>41</v>
      </c>
      <c r="H222" s="7"/>
      <c r="I222" s="7">
        <v>1</v>
      </c>
      <c r="J222" s="7"/>
      <c r="K222" s="7"/>
      <c r="L222" s="7"/>
      <c r="M222" s="7"/>
      <c r="N222" s="19" t="s">
        <v>154</v>
      </c>
      <c r="O222" s="7"/>
    </row>
    <row r="223" spans="1:15" x14ac:dyDescent="0.65">
      <c r="A223" s="7">
        <v>222</v>
      </c>
      <c r="B223" s="9" t="s">
        <v>257</v>
      </c>
      <c r="C223" s="19">
        <v>1</v>
      </c>
      <c r="D223" s="19">
        <v>0</v>
      </c>
      <c r="E223" s="19" t="s">
        <v>186</v>
      </c>
      <c r="F223" s="9" t="s">
        <v>11</v>
      </c>
      <c r="G223" s="9">
        <v>51</v>
      </c>
      <c r="H223" s="7">
        <v>1</v>
      </c>
      <c r="I223" s="7"/>
      <c r="J223" s="7"/>
      <c r="K223" s="7"/>
      <c r="L223" s="7"/>
      <c r="M223" s="7"/>
      <c r="N223" s="19" t="s">
        <v>154</v>
      </c>
      <c r="O223" s="7"/>
    </row>
    <row r="224" spans="1:15" x14ac:dyDescent="0.65">
      <c r="A224" s="7">
        <v>223</v>
      </c>
      <c r="B224" s="9" t="s">
        <v>43</v>
      </c>
      <c r="C224" s="19">
        <v>1</v>
      </c>
      <c r="D224" s="19">
        <v>0</v>
      </c>
      <c r="E224" s="19" t="s">
        <v>186</v>
      </c>
      <c r="F224" s="9" t="s">
        <v>11</v>
      </c>
      <c r="G224" s="9">
        <v>42</v>
      </c>
      <c r="H224" s="7"/>
      <c r="I224" s="7"/>
      <c r="J224" s="7"/>
      <c r="K224" s="7">
        <v>1</v>
      </c>
      <c r="L224" s="7"/>
      <c r="M224" s="7"/>
      <c r="N224" s="19" t="s">
        <v>154</v>
      </c>
      <c r="O224" s="7"/>
    </row>
    <row r="225" spans="1:15" x14ac:dyDescent="0.65">
      <c r="A225" s="7">
        <v>224</v>
      </c>
      <c r="B225" s="9" t="s">
        <v>258</v>
      </c>
      <c r="C225" s="19">
        <v>1</v>
      </c>
      <c r="D225" s="19">
        <v>0</v>
      </c>
      <c r="E225" s="19" t="s">
        <v>186</v>
      </c>
      <c r="F225" s="9" t="s">
        <v>11</v>
      </c>
      <c r="G225" s="9">
        <v>39</v>
      </c>
      <c r="H225" s="7">
        <v>1</v>
      </c>
      <c r="I225" s="7"/>
      <c r="J225" s="7"/>
      <c r="K225" s="7"/>
      <c r="L225" s="7"/>
      <c r="M225" s="7"/>
      <c r="N225" s="19" t="s">
        <v>154</v>
      </c>
      <c r="O225" s="7"/>
    </row>
    <row r="226" spans="1:15" x14ac:dyDescent="0.65">
      <c r="A226" s="7">
        <v>225</v>
      </c>
      <c r="B226" s="9" t="s">
        <v>158</v>
      </c>
      <c r="C226" s="19">
        <v>1</v>
      </c>
      <c r="D226" s="19">
        <v>0</v>
      </c>
      <c r="E226" s="19" t="s">
        <v>186</v>
      </c>
      <c r="F226" s="9" t="s">
        <v>11</v>
      </c>
      <c r="G226" s="9">
        <v>47</v>
      </c>
      <c r="H226" s="7"/>
      <c r="I226" s="7">
        <v>1</v>
      </c>
      <c r="J226" s="7"/>
      <c r="K226" s="7"/>
      <c r="L226" s="7"/>
      <c r="M226" s="7"/>
      <c r="N226" s="19" t="s">
        <v>154</v>
      </c>
      <c r="O226" s="7"/>
    </row>
    <row r="227" spans="1:15" x14ac:dyDescent="0.65">
      <c r="A227" s="7">
        <v>226</v>
      </c>
      <c r="B227" s="9" t="s">
        <v>259</v>
      </c>
      <c r="C227" s="19">
        <v>1</v>
      </c>
      <c r="D227" s="19">
        <v>1</v>
      </c>
      <c r="E227" s="19" t="s">
        <v>186</v>
      </c>
      <c r="F227" s="9" t="s">
        <v>11</v>
      </c>
      <c r="G227" s="9">
        <v>38</v>
      </c>
      <c r="H227" s="7">
        <v>1</v>
      </c>
      <c r="I227" s="7"/>
      <c r="J227" s="7"/>
      <c r="K227" s="7"/>
      <c r="L227" s="7"/>
      <c r="M227" s="7"/>
      <c r="N227" s="19" t="s">
        <v>154</v>
      </c>
      <c r="O227" s="7"/>
    </row>
    <row r="228" spans="1:15" x14ac:dyDescent="0.65">
      <c r="A228" s="7">
        <v>227</v>
      </c>
      <c r="B228" s="9" t="s">
        <v>260</v>
      </c>
      <c r="C228" s="19">
        <v>0</v>
      </c>
      <c r="D228" s="19">
        <v>0</v>
      </c>
      <c r="E228" s="19" t="s">
        <v>177</v>
      </c>
      <c r="F228" s="9" t="s">
        <v>11</v>
      </c>
      <c r="G228" s="9">
        <v>49</v>
      </c>
      <c r="H228" s="7">
        <v>1</v>
      </c>
      <c r="I228" s="7"/>
      <c r="J228" s="7"/>
      <c r="K228" s="7"/>
      <c r="L228" s="7"/>
      <c r="M228" s="7"/>
      <c r="N228" s="19" t="s">
        <v>154</v>
      </c>
      <c r="O228" s="7"/>
    </row>
    <row r="229" spans="1:15" x14ac:dyDescent="0.65">
      <c r="A229" s="18">
        <v>228</v>
      </c>
      <c r="B229" s="9" t="s">
        <v>261</v>
      </c>
      <c r="C229" s="9">
        <v>1</v>
      </c>
      <c r="D229" s="9">
        <v>0</v>
      </c>
      <c r="E229" s="9" t="s">
        <v>186</v>
      </c>
      <c r="F229" s="9" t="s">
        <v>11</v>
      </c>
      <c r="G229" s="9">
        <v>41</v>
      </c>
      <c r="H229" s="18">
        <v>1</v>
      </c>
      <c r="I229" s="18"/>
      <c r="J229" s="18"/>
      <c r="K229" s="18"/>
      <c r="L229" s="18"/>
      <c r="M229" s="18"/>
      <c r="N229" s="9" t="s">
        <v>154</v>
      </c>
      <c r="O229" s="18"/>
    </row>
    <row r="230" spans="1:15" x14ac:dyDescent="0.65">
      <c r="A230" s="7">
        <v>229</v>
      </c>
      <c r="B230" s="9" t="s">
        <v>255</v>
      </c>
      <c r="C230" s="19">
        <v>1</v>
      </c>
      <c r="D230" s="19">
        <v>0</v>
      </c>
      <c r="E230" s="19" t="s">
        <v>256</v>
      </c>
      <c r="F230" s="9" t="s">
        <v>11</v>
      </c>
      <c r="G230" s="9">
        <v>36</v>
      </c>
      <c r="H230" s="7"/>
      <c r="I230" s="7">
        <v>1</v>
      </c>
      <c r="J230" s="7"/>
      <c r="K230" s="7"/>
      <c r="L230" s="7"/>
      <c r="M230" s="7"/>
      <c r="N230" s="19" t="s">
        <v>154</v>
      </c>
      <c r="O230" s="7"/>
    </row>
    <row r="231" spans="1:15" x14ac:dyDescent="0.65">
      <c r="A231" s="7">
        <v>230</v>
      </c>
      <c r="B231" s="9" t="s">
        <v>212</v>
      </c>
      <c r="C231" s="19">
        <v>1</v>
      </c>
      <c r="D231" s="19">
        <v>0</v>
      </c>
      <c r="E231" s="19" t="s">
        <v>177</v>
      </c>
      <c r="F231" s="9" t="s">
        <v>11</v>
      </c>
      <c r="G231" s="9">
        <v>44</v>
      </c>
      <c r="H231" s="7"/>
      <c r="I231" s="7">
        <v>1</v>
      </c>
      <c r="J231" s="7"/>
      <c r="K231" s="7"/>
      <c r="L231" s="7"/>
      <c r="M231" s="7"/>
      <c r="N231" s="19" t="s">
        <v>154</v>
      </c>
      <c r="O231" s="7"/>
    </row>
    <row r="232" spans="1:15" x14ac:dyDescent="0.65">
      <c r="A232" s="7">
        <v>231</v>
      </c>
      <c r="B232" s="9" t="s">
        <v>262</v>
      </c>
      <c r="C232" s="19">
        <v>1</v>
      </c>
      <c r="D232" s="19">
        <v>0</v>
      </c>
      <c r="E232" s="19" t="s">
        <v>263</v>
      </c>
      <c r="F232" s="9" t="s">
        <v>11</v>
      </c>
      <c r="G232" s="9">
        <v>41</v>
      </c>
      <c r="H232" s="7">
        <v>1</v>
      </c>
      <c r="I232" s="7"/>
      <c r="J232" s="7"/>
      <c r="K232" s="7"/>
      <c r="L232" s="7"/>
      <c r="M232" s="7"/>
      <c r="N232" s="19" t="s">
        <v>154</v>
      </c>
      <c r="O232" s="7"/>
    </row>
    <row r="233" spans="1:15" x14ac:dyDescent="0.65">
      <c r="A233" s="7">
        <v>232</v>
      </c>
      <c r="B233" s="9" t="s">
        <v>136</v>
      </c>
      <c r="C233" s="19">
        <v>1</v>
      </c>
      <c r="D233" s="19">
        <v>0</v>
      </c>
      <c r="E233" s="19" t="s">
        <v>186</v>
      </c>
      <c r="F233" s="9" t="s">
        <v>11</v>
      </c>
      <c r="G233" s="9">
        <v>35</v>
      </c>
      <c r="H233" s="7"/>
      <c r="I233" s="7">
        <v>1</v>
      </c>
      <c r="J233" s="7"/>
      <c r="K233" s="7"/>
      <c r="L233" s="7"/>
      <c r="M233" s="7"/>
      <c r="N233" s="19" t="s">
        <v>154</v>
      </c>
      <c r="O233" s="7"/>
    </row>
    <row r="234" spans="1:15" x14ac:dyDescent="0.65">
      <c r="A234" s="7">
        <v>233</v>
      </c>
      <c r="B234" s="9" t="s">
        <v>123</v>
      </c>
      <c r="C234" s="19">
        <v>1</v>
      </c>
      <c r="D234" s="19">
        <v>0</v>
      </c>
      <c r="E234" s="19" t="s">
        <v>186</v>
      </c>
      <c r="F234" s="9" t="s">
        <v>11</v>
      </c>
      <c r="G234" s="9">
        <v>43</v>
      </c>
      <c r="H234" s="7"/>
      <c r="I234" s="7">
        <v>1</v>
      </c>
      <c r="J234" s="7"/>
      <c r="K234" s="7"/>
      <c r="L234" s="7"/>
      <c r="M234" s="7"/>
      <c r="N234" s="19" t="s">
        <v>264</v>
      </c>
      <c r="O234" s="7"/>
    </row>
    <row r="235" spans="1:15" x14ac:dyDescent="0.65">
      <c r="A235" s="18">
        <v>234</v>
      </c>
      <c r="B235" s="9" t="s">
        <v>265</v>
      </c>
      <c r="C235" s="9">
        <v>1</v>
      </c>
      <c r="D235" s="9">
        <v>0</v>
      </c>
      <c r="E235" s="19" t="s">
        <v>186</v>
      </c>
      <c r="F235" s="9" t="s">
        <v>11</v>
      </c>
      <c r="G235" s="9">
        <v>34</v>
      </c>
      <c r="H235" s="7">
        <v>1</v>
      </c>
      <c r="I235" s="7"/>
      <c r="J235" s="7"/>
      <c r="K235" s="7"/>
      <c r="L235" s="7"/>
      <c r="M235" s="7"/>
      <c r="N235" s="19" t="s">
        <v>264</v>
      </c>
      <c r="O235" s="7"/>
    </row>
    <row r="236" spans="1:15" x14ac:dyDescent="0.65">
      <c r="A236" s="18">
        <v>235</v>
      </c>
      <c r="B236" s="9" t="s">
        <v>266</v>
      </c>
      <c r="C236" s="9">
        <v>1</v>
      </c>
      <c r="D236" s="9">
        <v>0</v>
      </c>
      <c r="E236" s="19" t="s">
        <v>186</v>
      </c>
      <c r="F236" s="9" t="s">
        <v>11</v>
      </c>
      <c r="G236" s="9">
        <v>40</v>
      </c>
      <c r="H236" s="7">
        <v>1</v>
      </c>
      <c r="I236" s="7"/>
      <c r="J236" s="7"/>
      <c r="K236" s="7"/>
      <c r="L236" s="7"/>
      <c r="M236" s="7"/>
      <c r="N236" s="19" t="s">
        <v>264</v>
      </c>
      <c r="O236" s="7"/>
    </row>
    <row r="237" spans="1:15" x14ac:dyDescent="0.65">
      <c r="A237" s="18">
        <v>236</v>
      </c>
      <c r="B237" s="9" t="s">
        <v>267</v>
      </c>
      <c r="C237" s="9">
        <v>1</v>
      </c>
      <c r="D237" s="9">
        <v>0</v>
      </c>
      <c r="E237" s="19" t="s">
        <v>186</v>
      </c>
      <c r="F237" s="9" t="s">
        <v>11</v>
      </c>
      <c r="G237" s="9">
        <v>40</v>
      </c>
      <c r="H237" s="7">
        <v>1</v>
      </c>
      <c r="I237" s="7"/>
      <c r="J237" s="7"/>
      <c r="K237" s="7"/>
      <c r="L237" s="7"/>
      <c r="M237" s="7"/>
      <c r="N237" s="19" t="s">
        <v>264</v>
      </c>
      <c r="O237" s="7"/>
    </row>
    <row r="238" spans="1:15" ht="17.5" customHeight="1" x14ac:dyDescent="0.65">
      <c r="A238" s="7">
        <v>239</v>
      </c>
      <c r="B238" s="9" t="s">
        <v>268</v>
      </c>
      <c r="C238" s="19">
        <v>1</v>
      </c>
      <c r="D238" s="19">
        <v>0</v>
      </c>
      <c r="E238" s="19" t="s">
        <v>185</v>
      </c>
      <c r="F238" s="9" t="s">
        <v>11</v>
      </c>
      <c r="G238" s="9">
        <v>41</v>
      </c>
      <c r="H238" s="7">
        <v>1</v>
      </c>
      <c r="I238" s="7"/>
      <c r="J238" s="7"/>
      <c r="K238" s="7"/>
      <c r="L238" s="7"/>
      <c r="M238" s="7"/>
      <c r="N238" s="19" t="s">
        <v>264</v>
      </c>
      <c r="O238" s="7"/>
    </row>
    <row r="239" spans="1:15" ht="17.5" customHeight="1" x14ac:dyDescent="0.65">
      <c r="A239" s="7">
        <v>240</v>
      </c>
      <c r="B239" s="9" t="s">
        <v>137</v>
      </c>
      <c r="C239" s="19">
        <v>1</v>
      </c>
      <c r="D239" s="19">
        <v>0</v>
      </c>
      <c r="E239" s="19" t="s">
        <v>186</v>
      </c>
      <c r="F239" s="9" t="s">
        <v>11</v>
      </c>
      <c r="G239" s="9">
        <v>61</v>
      </c>
      <c r="H239" s="7"/>
      <c r="I239" s="7">
        <v>1</v>
      </c>
      <c r="J239" s="7"/>
      <c r="K239" s="7"/>
      <c r="L239" s="7"/>
      <c r="M239" s="7"/>
      <c r="N239" s="19" t="s">
        <v>269</v>
      </c>
      <c r="O239" s="7"/>
    </row>
    <row r="240" spans="1:15" ht="17.5" customHeight="1" x14ac:dyDescent="0.65">
      <c r="A240" s="7">
        <v>241</v>
      </c>
      <c r="B240" s="9" t="s">
        <v>110</v>
      </c>
      <c r="C240" s="19">
        <v>1</v>
      </c>
      <c r="D240" s="19">
        <v>0</v>
      </c>
      <c r="E240" s="19" t="s">
        <v>186</v>
      </c>
      <c r="F240" s="9" t="s">
        <v>11</v>
      </c>
      <c r="G240" s="9">
        <v>41</v>
      </c>
      <c r="H240" s="7"/>
      <c r="I240" s="7"/>
      <c r="J240" s="7">
        <v>1</v>
      </c>
      <c r="K240" s="7"/>
      <c r="L240" s="7"/>
      <c r="M240" s="7"/>
      <c r="N240" s="19" t="s">
        <v>269</v>
      </c>
      <c r="O240" s="7"/>
    </row>
    <row r="241" spans="1:15" ht="17.5" customHeight="1" x14ac:dyDescent="0.65">
      <c r="A241" s="18">
        <v>242</v>
      </c>
      <c r="B241" s="9" t="s">
        <v>270</v>
      </c>
      <c r="C241" s="9">
        <v>1</v>
      </c>
      <c r="D241" s="9">
        <v>0</v>
      </c>
      <c r="E241" s="9" t="s">
        <v>185</v>
      </c>
      <c r="F241" s="9" t="s">
        <v>11</v>
      </c>
      <c r="G241" s="9">
        <v>45</v>
      </c>
      <c r="H241" s="7">
        <v>1</v>
      </c>
      <c r="I241" s="7"/>
      <c r="J241" s="7"/>
      <c r="K241" s="7"/>
      <c r="L241" s="7"/>
      <c r="M241" s="7"/>
      <c r="N241" s="19" t="s">
        <v>269</v>
      </c>
      <c r="O241" s="7"/>
    </row>
    <row r="242" spans="1:15" ht="17.5" customHeight="1" x14ac:dyDescent="0.65">
      <c r="A242" s="7">
        <v>243</v>
      </c>
      <c r="B242" s="9" t="s">
        <v>124</v>
      </c>
      <c r="C242" s="19">
        <v>1</v>
      </c>
      <c r="D242" s="19">
        <v>0</v>
      </c>
      <c r="E242" s="19" t="s">
        <v>186</v>
      </c>
      <c r="F242" s="9" t="s">
        <v>11</v>
      </c>
      <c r="G242" s="9">
        <v>30</v>
      </c>
      <c r="H242" s="7"/>
      <c r="I242" s="7"/>
      <c r="J242" s="7">
        <v>1</v>
      </c>
      <c r="K242" s="7"/>
      <c r="L242" s="7"/>
      <c r="M242" s="7"/>
      <c r="N242" s="19" t="s">
        <v>269</v>
      </c>
      <c r="O242" s="7"/>
    </row>
    <row r="243" spans="1:15" ht="17.5" customHeight="1" x14ac:dyDescent="0.65">
      <c r="A243" s="7">
        <v>244</v>
      </c>
      <c r="B243" s="9" t="s">
        <v>64</v>
      </c>
      <c r="C243" s="19">
        <v>1</v>
      </c>
      <c r="D243" s="19">
        <v>0</v>
      </c>
      <c r="E243" s="19" t="s">
        <v>186</v>
      </c>
      <c r="F243" s="9" t="s">
        <v>11</v>
      </c>
      <c r="G243" s="9">
        <v>39</v>
      </c>
      <c r="H243" s="7"/>
      <c r="I243" s="7">
        <v>1</v>
      </c>
      <c r="J243" s="7"/>
      <c r="K243" s="7"/>
      <c r="L243" s="7"/>
      <c r="M243" s="7"/>
      <c r="N243" s="19" t="s">
        <v>269</v>
      </c>
      <c r="O243" s="7"/>
    </row>
    <row r="244" spans="1:15" ht="17.5" customHeight="1" x14ac:dyDescent="0.65">
      <c r="A244" s="18">
        <v>245</v>
      </c>
      <c r="B244" s="9" t="s">
        <v>283</v>
      </c>
      <c r="C244" s="9">
        <v>1</v>
      </c>
      <c r="D244" s="9">
        <v>0</v>
      </c>
      <c r="E244" s="9" t="s">
        <v>263</v>
      </c>
      <c r="F244" s="9" t="s">
        <v>11</v>
      </c>
      <c r="G244" s="9">
        <v>43</v>
      </c>
      <c r="H244" s="7">
        <v>1</v>
      </c>
      <c r="I244" s="7"/>
      <c r="J244" s="7"/>
      <c r="K244" s="7"/>
      <c r="L244" s="7"/>
      <c r="M244" s="7"/>
      <c r="N244" s="19" t="s">
        <v>269</v>
      </c>
      <c r="O244" s="7"/>
    </row>
    <row r="245" spans="1:15" ht="17.5" customHeight="1" x14ac:dyDescent="0.65">
      <c r="A245" s="7">
        <v>246</v>
      </c>
      <c r="B245" s="9" t="s">
        <v>54</v>
      </c>
      <c r="C245" s="19">
        <v>1</v>
      </c>
      <c r="D245" s="19">
        <v>0</v>
      </c>
      <c r="E245" s="19" t="s">
        <v>186</v>
      </c>
      <c r="F245" s="9" t="s">
        <v>11</v>
      </c>
      <c r="G245" s="9">
        <v>58</v>
      </c>
      <c r="H245" s="7"/>
      <c r="I245" s="7">
        <v>1</v>
      </c>
      <c r="J245" s="7"/>
      <c r="K245" s="7"/>
      <c r="L245" s="7"/>
      <c r="M245" s="7"/>
      <c r="N245" s="19" t="s">
        <v>269</v>
      </c>
      <c r="O245" s="7"/>
    </row>
    <row r="246" spans="1:15" x14ac:dyDescent="0.65">
      <c r="A246" s="7">
        <v>247</v>
      </c>
      <c r="B246" s="9" t="s">
        <v>86</v>
      </c>
      <c r="C246" s="19">
        <v>1</v>
      </c>
      <c r="D246" s="19">
        <v>0</v>
      </c>
      <c r="E246" s="19" t="s">
        <v>186</v>
      </c>
      <c r="F246" s="9" t="s">
        <v>11</v>
      </c>
      <c r="G246" s="9">
        <v>32</v>
      </c>
      <c r="H246" s="7"/>
      <c r="I246" s="7"/>
      <c r="J246" s="7"/>
      <c r="K246" s="7"/>
      <c r="L246" s="7">
        <v>1</v>
      </c>
      <c r="M246" s="7"/>
      <c r="N246" s="19" t="s">
        <v>269</v>
      </c>
      <c r="O246" s="7"/>
    </row>
    <row r="247" spans="1:15" x14ac:dyDescent="0.65">
      <c r="A247" s="7">
        <v>248</v>
      </c>
      <c r="B247" s="9" t="s">
        <v>86</v>
      </c>
      <c r="C247" s="19">
        <v>1</v>
      </c>
      <c r="D247" s="19">
        <v>0</v>
      </c>
      <c r="E247" s="19" t="s">
        <v>186</v>
      </c>
      <c r="F247" s="9" t="s">
        <v>11</v>
      </c>
      <c r="G247" s="9">
        <v>32</v>
      </c>
      <c r="H247" s="7"/>
      <c r="I247" s="7"/>
      <c r="J247" s="7"/>
      <c r="K247" s="7"/>
      <c r="L247" s="7"/>
      <c r="M247" s="7">
        <v>1</v>
      </c>
      <c r="N247" s="19" t="s">
        <v>269</v>
      </c>
      <c r="O247" s="7"/>
    </row>
    <row r="248" spans="1:15" x14ac:dyDescent="0.65">
      <c r="A248" s="18">
        <v>249</v>
      </c>
      <c r="B248" s="9" t="s">
        <v>273</v>
      </c>
      <c r="C248" s="9">
        <v>1</v>
      </c>
      <c r="D248" s="9">
        <v>0</v>
      </c>
      <c r="E248" s="9" t="s">
        <v>186</v>
      </c>
      <c r="F248" s="9" t="s">
        <v>11</v>
      </c>
      <c r="G248" s="9">
        <v>36</v>
      </c>
      <c r="H248" s="7">
        <v>1</v>
      </c>
      <c r="I248" s="7"/>
      <c r="J248" s="7"/>
      <c r="K248" s="7"/>
      <c r="L248" s="7"/>
      <c r="M248" s="7"/>
      <c r="N248" s="19" t="s">
        <v>269</v>
      </c>
      <c r="O248" s="7"/>
    </row>
    <row r="249" spans="1:15" x14ac:dyDescent="0.65">
      <c r="A249" s="18">
        <v>250</v>
      </c>
      <c r="B249" s="9" t="s">
        <v>274</v>
      </c>
      <c r="C249" s="9">
        <v>1</v>
      </c>
      <c r="D249" s="9">
        <v>0</v>
      </c>
      <c r="E249" s="9" t="s">
        <v>189</v>
      </c>
      <c r="F249" s="9" t="s">
        <v>11</v>
      </c>
      <c r="G249" s="9">
        <v>21</v>
      </c>
      <c r="H249" s="7">
        <v>1</v>
      </c>
      <c r="I249" s="7"/>
      <c r="J249" s="7"/>
      <c r="K249" s="7"/>
      <c r="L249" s="7"/>
      <c r="M249" s="7"/>
      <c r="N249" s="19" t="s">
        <v>269</v>
      </c>
      <c r="O249" s="7"/>
    </row>
    <row r="250" spans="1:15" x14ac:dyDescent="0.65">
      <c r="A250" s="7">
        <v>251</v>
      </c>
      <c r="B250" s="9" t="s">
        <v>123</v>
      </c>
      <c r="C250" s="19">
        <v>1</v>
      </c>
      <c r="D250" s="19">
        <v>0</v>
      </c>
      <c r="E250" s="19" t="s">
        <v>186</v>
      </c>
      <c r="F250" s="9" t="s">
        <v>11</v>
      </c>
      <c r="G250" s="9">
        <v>43</v>
      </c>
      <c r="H250" s="7"/>
      <c r="I250" s="7"/>
      <c r="J250" s="7">
        <v>1</v>
      </c>
      <c r="K250" s="7"/>
      <c r="L250" s="7"/>
      <c r="M250" s="7"/>
      <c r="N250" s="19" t="s">
        <v>269</v>
      </c>
      <c r="O250" s="7"/>
    </row>
    <row r="251" spans="1:15" x14ac:dyDescent="0.65">
      <c r="A251" s="7">
        <v>251</v>
      </c>
      <c r="B251" s="9" t="s">
        <v>127</v>
      </c>
      <c r="C251" s="19">
        <v>1</v>
      </c>
      <c r="D251" s="19">
        <v>0</v>
      </c>
      <c r="E251" s="19" t="s">
        <v>185</v>
      </c>
      <c r="F251" s="9" t="s">
        <v>11</v>
      </c>
      <c r="G251" s="9">
        <v>34</v>
      </c>
      <c r="H251" s="7"/>
      <c r="I251" s="7">
        <v>1</v>
      </c>
      <c r="J251" s="7"/>
      <c r="K251" s="7"/>
      <c r="L251" s="7"/>
      <c r="M251" s="7"/>
      <c r="N251" s="19" t="s">
        <v>269</v>
      </c>
      <c r="O251" s="7"/>
    </row>
    <row r="252" spans="1:15" x14ac:dyDescent="0.65">
      <c r="A252" s="7">
        <v>252</v>
      </c>
      <c r="B252" s="9" t="s">
        <v>116</v>
      </c>
      <c r="C252" s="19">
        <v>1</v>
      </c>
      <c r="D252" s="19">
        <v>1</v>
      </c>
      <c r="E252" s="19" t="s">
        <v>185</v>
      </c>
      <c r="F252" s="9" t="s">
        <v>11</v>
      </c>
      <c r="G252" s="9">
        <v>49</v>
      </c>
      <c r="H252" s="7"/>
      <c r="I252" s="7">
        <v>1</v>
      </c>
      <c r="J252" s="7"/>
      <c r="K252" s="7"/>
      <c r="L252" s="7"/>
      <c r="M252" s="7"/>
      <c r="N252" s="19" t="s">
        <v>269</v>
      </c>
      <c r="O252" s="7"/>
    </row>
    <row r="253" spans="1:15" x14ac:dyDescent="0.65">
      <c r="A253" s="7">
        <v>252</v>
      </c>
      <c r="B253" s="9" t="s">
        <v>285</v>
      </c>
      <c r="C253" s="19">
        <v>0</v>
      </c>
      <c r="D253" s="19">
        <v>0</v>
      </c>
      <c r="E253" s="19" t="s">
        <v>185</v>
      </c>
      <c r="F253" s="9" t="s">
        <v>68</v>
      </c>
      <c r="G253" s="9">
        <v>22</v>
      </c>
      <c r="H253" s="7">
        <v>1</v>
      </c>
      <c r="I253" s="7"/>
      <c r="J253" s="7"/>
      <c r="K253" s="7"/>
      <c r="L253" s="7"/>
      <c r="M253" s="7"/>
      <c r="N253" s="19" t="s">
        <v>269</v>
      </c>
      <c r="O253" s="7"/>
    </row>
    <row r="254" spans="1:15" x14ac:dyDescent="0.65">
      <c r="A254" s="7">
        <v>253</v>
      </c>
      <c r="B254" s="9" t="s">
        <v>286</v>
      </c>
      <c r="C254" s="19">
        <v>0</v>
      </c>
      <c r="D254" s="19">
        <v>0</v>
      </c>
      <c r="E254" s="19" t="s">
        <v>190</v>
      </c>
      <c r="F254" s="9" t="s">
        <v>11</v>
      </c>
      <c r="G254" s="9">
        <v>0</v>
      </c>
      <c r="H254" s="7">
        <v>1</v>
      </c>
      <c r="I254" s="7">
        <v>0</v>
      </c>
      <c r="J254" s="7">
        <v>0</v>
      </c>
      <c r="K254" s="7">
        <v>0</v>
      </c>
      <c r="L254" s="7">
        <v>0</v>
      </c>
      <c r="M254" s="7">
        <v>0</v>
      </c>
      <c r="N254" s="19" t="s">
        <v>287</v>
      </c>
      <c r="O254" s="7"/>
    </row>
    <row r="255" spans="1:15" x14ac:dyDescent="0.65">
      <c r="A255" s="7">
        <v>254</v>
      </c>
      <c r="B255" s="9" t="s">
        <v>288</v>
      </c>
      <c r="C255" s="19">
        <v>1</v>
      </c>
      <c r="D255" s="19">
        <v>0</v>
      </c>
      <c r="E255" s="19" t="s">
        <v>289</v>
      </c>
      <c r="F255" s="9" t="s">
        <v>11</v>
      </c>
      <c r="G255" s="9">
        <v>67</v>
      </c>
      <c r="H255" s="7">
        <v>1</v>
      </c>
      <c r="I255" s="7">
        <v>0</v>
      </c>
      <c r="J255" s="7">
        <v>0</v>
      </c>
      <c r="K255" s="7">
        <v>0</v>
      </c>
      <c r="L255" s="7">
        <v>0</v>
      </c>
      <c r="M255" s="7">
        <v>0</v>
      </c>
      <c r="N255" s="19" t="s">
        <v>287</v>
      </c>
      <c r="O255" s="7"/>
    </row>
    <row r="256" spans="1:15" x14ac:dyDescent="0.65">
      <c r="A256" s="7">
        <v>255</v>
      </c>
      <c r="B256" s="9" t="s">
        <v>290</v>
      </c>
      <c r="C256" s="19">
        <v>1</v>
      </c>
      <c r="D256" s="19">
        <v>0</v>
      </c>
      <c r="E256" s="19" t="s">
        <v>186</v>
      </c>
      <c r="F256" s="9" t="s">
        <v>11</v>
      </c>
      <c r="G256" s="9">
        <v>62</v>
      </c>
      <c r="H256" s="7">
        <v>1</v>
      </c>
      <c r="I256" s="7">
        <v>0</v>
      </c>
      <c r="J256" s="7">
        <v>0</v>
      </c>
      <c r="K256" s="7">
        <v>0</v>
      </c>
      <c r="L256" s="7">
        <v>0</v>
      </c>
      <c r="M256" s="7">
        <v>0</v>
      </c>
      <c r="N256" s="19" t="s">
        <v>287</v>
      </c>
      <c r="O256" s="7"/>
    </row>
    <row r="257" spans="1:15" x14ac:dyDescent="0.65">
      <c r="A257" s="7">
        <v>256</v>
      </c>
      <c r="B257" s="9" t="s">
        <v>291</v>
      </c>
      <c r="C257" s="19">
        <v>0</v>
      </c>
      <c r="D257" s="19">
        <v>0</v>
      </c>
      <c r="E257" s="19" t="s">
        <v>177</v>
      </c>
      <c r="F257" s="9" t="s">
        <v>11</v>
      </c>
      <c r="G257" s="9">
        <v>42</v>
      </c>
      <c r="H257" s="7">
        <v>1</v>
      </c>
      <c r="I257" s="7">
        <v>0</v>
      </c>
      <c r="J257" s="7">
        <v>0</v>
      </c>
      <c r="K257" s="7">
        <v>0</v>
      </c>
      <c r="L257" s="7">
        <v>0</v>
      </c>
      <c r="M257" s="7">
        <v>0</v>
      </c>
      <c r="N257" s="19" t="s">
        <v>287</v>
      </c>
      <c r="O257" s="7"/>
    </row>
    <row r="258" spans="1:15" x14ac:dyDescent="0.65">
      <c r="A258" s="7">
        <v>257</v>
      </c>
      <c r="B258" s="9" t="s">
        <v>292</v>
      </c>
      <c r="C258" s="19">
        <v>1</v>
      </c>
      <c r="D258" s="19">
        <v>0</v>
      </c>
      <c r="E258" s="19" t="s">
        <v>177</v>
      </c>
      <c r="F258" s="9" t="s">
        <v>11</v>
      </c>
      <c r="G258" s="9">
        <v>58</v>
      </c>
      <c r="H258" s="7"/>
      <c r="I258" s="7"/>
      <c r="J258" s="7">
        <v>1</v>
      </c>
      <c r="K258" s="7"/>
      <c r="L258" s="7"/>
      <c r="M258" s="7"/>
      <c r="N258" s="19" t="s">
        <v>287</v>
      </c>
      <c r="O258" s="7"/>
    </row>
    <row r="259" spans="1:15" x14ac:dyDescent="0.65">
      <c r="A259" s="7">
        <v>258</v>
      </c>
      <c r="B259" s="36" t="s">
        <v>293</v>
      </c>
      <c r="C259" s="19">
        <v>0</v>
      </c>
      <c r="D259" s="19">
        <v>0</v>
      </c>
      <c r="E259" s="19" t="s">
        <v>185</v>
      </c>
      <c r="F259" s="9" t="s">
        <v>11</v>
      </c>
      <c r="G259" s="9">
        <v>0</v>
      </c>
      <c r="H259" s="7">
        <v>1</v>
      </c>
      <c r="I259" s="7"/>
      <c r="J259" s="7"/>
      <c r="K259" s="7"/>
      <c r="L259" s="7"/>
      <c r="M259" s="7"/>
      <c r="N259" s="19" t="s">
        <v>287</v>
      </c>
      <c r="O259" s="7"/>
    </row>
    <row r="260" spans="1:15" x14ac:dyDescent="0.65">
      <c r="A260" s="7"/>
      <c r="B260" s="9"/>
      <c r="C260" s="19"/>
      <c r="D260" s="19"/>
      <c r="E260" s="19"/>
      <c r="F260" s="9"/>
      <c r="G260" s="9"/>
      <c r="H260" s="7"/>
      <c r="I260" s="7"/>
      <c r="J260" s="7"/>
      <c r="K260" s="7"/>
      <c r="L260" s="7"/>
      <c r="M260" s="7"/>
      <c r="N260" s="19"/>
      <c r="O260" s="7"/>
    </row>
    <row r="261" spans="1:15" x14ac:dyDescent="0.65">
      <c r="A261" s="7"/>
      <c r="B261" s="9"/>
      <c r="C261" s="19"/>
      <c r="D261" s="19"/>
      <c r="E261" s="19"/>
      <c r="F261" s="9"/>
      <c r="G261" s="9"/>
      <c r="H261" s="7"/>
      <c r="I261" s="7"/>
      <c r="J261" s="7"/>
      <c r="K261" s="7"/>
      <c r="L261" s="7"/>
      <c r="M261" s="7"/>
      <c r="N261" s="19"/>
      <c r="O261" s="7"/>
    </row>
    <row r="262" spans="1:15" ht="19" thickBot="1" x14ac:dyDescent="0.7">
      <c r="A262" s="7"/>
      <c r="B262" s="9"/>
      <c r="C262" s="19"/>
      <c r="D262" s="19"/>
      <c r="E262" s="19"/>
      <c r="F262" s="9"/>
      <c r="G262" s="9"/>
      <c r="H262" s="7"/>
      <c r="I262" s="7"/>
      <c r="J262" s="7"/>
      <c r="K262" s="7"/>
      <c r="L262" s="7"/>
      <c r="M262" s="7"/>
      <c r="N262" s="19"/>
    </row>
    <row r="263" spans="1:15" ht="19" thickBot="1" x14ac:dyDescent="0.7">
      <c r="A263" s="14" t="s">
        <v>221</v>
      </c>
      <c r="B263" s="15"/>
      <c r="C263" s="15"/>
      <c r="D263" s="15"/>
      <c r="E263" s="15"/>
      <c r="F263" s="15"/>
      <c r="G263" s="15"/>
      <c r="H263" s="15"/>
      <c r="I263" s="15">
        <f>SUM(Tabela8[2º  PROCESSO SEI GERADO])</f>
        <v>44</v>
      </c>
      <c r="J263" s="15">
        <f>SUM(Tabela8[3º  PROCESSO SEI GERADO])</f>
        <v>15</v>
      </c>
      <c r="K263" s="15">
        <f>SUM(Tabela8[4º  PROCESSO SEI GERADO])</f>
        <v>6</v>
      </c>
      <c r="L263" s="15">
        <f>SUM(Tabela8[5º  PROCESSO SEI GERADO])</f>
        <v>2</v>
      </c>
      <c r="M263" s="24">
        <f>SUM(Tabela8[6º  PROCESSO SEI GERADO])</f>
        <v>1</v>
      </c>
      <c r="N263" s="16"/>
    </row>
  </sheetData>
  <sheetProtection algorithmName="SHA-512" hashValue="X/aHMgha0FyufDhpyVF2PEqwZjt2xgyfpxUSrtSz/jHUcUM2DbnchBEr1Nbn602xcBpu/yX5YzXI5AVvll8apA==" saltValue="w2b33u6uuTqtD0CbDKPyvQ==" spinCount="100000" sheet="1" objects="1" scenarios="1" selectLockedCells="1" selectUnlockedCells="1"/>
  <phoneticPr fontId="2" type="noConversion"/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2:G206"/>
  <sheetViews>
    <sheetView topLeftCell="A22" zoomScale="85" zoomScaleNormal="85" workbookViewId="0">
      <selection activeCell="A77" sqref="A77"/>
    </sheetView>
  </sheetViews>
  <sheetFormatPr defaultRowHeight="18.5" x14ac:dyDescent="0.65"/>
  <cols>
    <col min="2" max="2" width="19.453125" bestFit="1" customWidth="1"/>
    <col min="3" max="3" width="29.26953125" bestFit="1" customWidth="1"/>
    <col min="4" max="5" width="38.36328125" bestFit="1" customWidth="1"/>
    <col min="6" max="6" width="19.453125" bestFit="1" customWidth="1"/>
    <col min="7" max="7" width="39.26953125" bestFit="1" customWidth="1"/>
  </cols>
  <sheetData>
    <row r="2" spans="1:3" x14ac:dyDescent="0.65">
      <c r="B2" t="s">
        <v>183</v>
      </c>
    </row>
    <row r="3" spans="1:3" x14ac:dyDescent="0.65">
      <c r="B3" s="3">
        <v>258</v>
      </c>
    </row>
    <row r="4" spans="1:3" x14ac:dyDescent="0.65">
      <c r="B4" s="3"/>
    </row>
    <row r="5" spans="1:3" x14ac:dyDescent="0.65">
      <c r="B5" s="3"/>
    </row>
    <row r="6" spans="1:3" x14ac:dyDescent="0.65">
      <c r="B6" s="4" t="s">
        <v>179</v>
      </c>
      <c r="C6" t="s">
        <v>203</v>
      </c>
    </row>
    <row r="7" spans="1:3" x14ac:dyDescent="0.65">
      <c r="B7" s="6">
        <v>1</v>
      </c>
      <c r="C7" s="3">
        <v>162</v>
      </c>
    </row>
    <row r="8" spans="1:3" x14ac:dyDescent="0.65">
      <c r="B8" s="6" t="s">
        <v>284</v>
      </c>
      <c r="C8" s="3">
        <v>162</v>
      </c>
    </row>
    <row r="10" spans="1:3" ht="17.149999999999999" customHeight="1" x14ac:dyDescent="0.65"/>
    <row r="12" spans="1:3" ht="18" customHeight="1" x14ac:dyDescent="0.65">
      <c r="B12" t="s">
        <v>184</v>
      </c>
    </row>
    <row r="13" spans="1:3" x14ac:dyDescent="0.65">
      <c r="B13" s="3">
        <v>8</v>
      </c>
    </row>
    <row r="15" spans="1:3" s="5" customFormat="1" ht="19" thickBot="1" x14ac:dyDescent="0.7">
      <c r="A15" s="5" t="s">
        <v>178</v>
      </c>
    </row>
    <row r="18" spans="2:7" x14ac:dyDescent="0.65">
      <c r="B18" s="4" t="s">
        <v>179</v>
      </c>
      <c r="C18" t="s">
        <v>196</v>
      </c>
      <c r="F18" s="4" t="s">
        <v>179</v>
      </c>
      <c r="G18" t="s">
        <v>197</v>
      </c>
    </row>
    <row r="19" spans="2:7" x14ac:dyDescent="0.65">
      <c r="B19" s="6" t="s">
        <v>264</v>
      </c>
      <c r="C19" s="3">
        <v>4</v>
      </c>
      <c r="F19" s="6" t="s">
        <v>287</v>
      </c>
      <c r="G19" s="3">
        <v>0</v>
      </c>
    </row>
    <row r="20" spans="2:7" x14ac:dyDescent="0.65">
      <c r="B20" s="6" t="s">
        <v>287</v>
      </c>
      <c r="C20" s="3">
        <v>5</v>
      </c>
      <c r="F20" s="6" t="s">
        <v>264</v>
      </c>
      <c r="G20" s="3">
        <v>1</v>
      </c>
    </row>
    <row r="21" spans="2:7" x14ac:dyDescent="0.65">
      <c r="B21" s="6" t="s">
        <v>269</v>
      </c>
      <c r="C21" s="3">
        <v>5</v>
      </c>
      <c r="F21" s="6" t="s">
        <v>12</v>
      </c>
      <c r="G21" s="3">
        <v>5</v>
      </c>
    </row>
    <row r="22" spans="2:7" x14ac:dyDescent="0.65">
      <c r="B22" s="6" t="s">
        <v>154</v>
      </c>
      <c r="C22" s="3">
        <v>37</v>
      </c>
      <c r="F22" s="6" t="s">
        <v>269</v>
      </c>
      <c r="G22" s="3">
        <v>5</v>
      </c>
    </row>
    <row r="23" spans="2:7" x14ac:dyDescent="0.65">
      <c r="B23" s="6" t="s">
        <v>12</v>
      </c>
      <c r="C23" s="3">
        <v>59</v>
      </c>
      <c r="F23" s="6" t="s">
        <v>154</v>
      </c>
      <c r="G23" s="3">
        <v>13</v>
      </c>
    </row>
    <row r="24" spans="2:7" x14ac:dyDescent="0.65">
      <c r="B24" s="6" t="s">
        <v>73</v>
      </c>
      <c r="C24" s="3">
        <v>80</v>
      </c>
      <c r="F24" s="6" t="s">
        <v>73</v>
      </c>
      <c r="G24" s="3">
        <v>20</v>
      </c>
    </row>
    <row r="25" spans="2:7" x14ac:dyDescent="0.65">
      <c r="B25" s="6" t="s">
        <v>284</v>
      </c>
      <c r="C25" s="3">
        <v>190</v>
      </c>
      <c r="F25" s="6" t="s">
        <v>284</v>
      </c>
      <c r="G25" s="3">
        <v>44</v>
      </c>
    </row>
    <row r="27" spans="2:7" x14ac:dyDescent="0.65">
      <c r="B27" s="4" t="s">
        <v>179</v>
      </c>
      <c r="C27" t="s">
        <v>198</v>
      </c>
      <c r="D27" s="4"/>
      <c r="E27" s="4"/>
      <c r="F27" s="4" t="s">
        <v>179</v>
      </c>
      <c r="G27" t="s">
        <v>199</v>
      </c>
    </row>
    <row r="28" spans="2:7" x14ac:dyDescent="0.65">
      <c r="B28" s="6" t="s">
        <v>12</v>
      </c>
      <c r="C28" s="3"/>
      <c r="F28" s="6" t="s">
        <v>12</v>
      </c>
      <c r="G28" s="3"/>
    </row>
    <row r="29" spans="2:7" x14ac:dyDescent="0.65">
      <c r="B29" s="6" t="s">
        <v>264</v>
      </c>
      <c r="C29" s="3"/>
      <c r="F29" s="6" t="s">
        <v>264</v>
      </c>
      <c r="G29" s="3"/>
    </row>
    <row r="30" spans="2:7" x14ac:dyDescent="0.65">
      <c r="B30" s="6" t="s">
        <v>287</v>
      </c>
      <c r="C30" s="3">
        <v>1</v>
      </c>
      <c r="F30" s="6" t="s">
        <v>287</v>
      </c>
      <c r="G30" s="3">
        <v>0</v>
      </c>
    </row>
    <row r="31" spans="2:7" x14ac:dyDescent="0.65">
      <c r="B31" s="6" t="s">
        <v>269</v>
      </c>
      <c r="C31" s="3">
        <v>3</v>
      </c>
      <c r="F31" s="6" t="s">
        <v>269</v>
      </c>
      <c r="G31" s="3"/>
    </row>
    <row r="32" spans="2:7" x14ac:dyDescent="0.65">
      <c r="B32" s="6" t="s">
        <v>154</v>
      </c>
      <c r="C32" s="3">
        <v>5</v>
      </c>
      <c r="F32" s="6" t="s">
        <v>73</v>
      </c>
      <c r="G32" s="3">
        <v>2</v>
      </c>
    </row>
    <row r="33" spans="1:7" x14ac:dyDescent="0.65">
      <c r="B33" s="6" t="s">
        <v>73</v>
      </c>
      <c r="C33" s="3">
        <v>6</v>
      </c>
      <c r="F33" s="6" t="s">
        <v>154</v>
      </c>
      <c r="G33" s="3">
        <v>4</v>
      </c>
    </row>
    <row r="34" spans="1:7" x14ac:dyDescent="0.65">
      <c r="B34" s="6" t="s">
        <v>284</v>
      </c>
      <c r="C34" s="3">
        <v>15</v>
      </c>
      <c r="F34" s="6" t="s">
        <v>284</v>
      </c>
      <c r="G34" s="3">
        <v>6</v>
      </c>
    </row>
    <row r="35" spans="1:7" x14ac:dyDescent="0.65">
      <c r="B35" s="6"/>
      <c r="C35" s="3"/>
      <c r="F35" s="6"/>
      <c r="G35" s="3"/>
    </row>
    <row r="36" spans="1:7" x14ac:dyDescent="0.65">
      <c r="B36" s="4" t="s">
        <v>179</v>
      </c>
      <c r="C36" t="s">
        <v>200</v>
      </c>
      <c r="D36" s="4"/>
      <c r="F36" s="4" t="s">
        <v>179</v>
      </c>
      <c r="G36" t="s">
        <v>272</v>
      </c>
    </row>
    <row r="37" spans="1:7" x14ac:dyDescent="0.65">
      <c r="B37" s="6" t="s">
        <v>12</v>
      </c>
      <c r="C37" s="3"/>
      <c r="F37" s="6" t="s">
        <v>154</v>
      </c>
      <c r="G37" s="3"/>
    </row>
    <row r="38" spans="1:7" x14ac:dyDescent="0.65">
      <c r="B38" s="6" t="s">
        <v>264</v>
      </c>
      <c r="C38" s="3"/>
      <c r="F38" s="6" t="s">
        <v>73</v>
      </c>
      <c r="G38" s="3"/>
    </row>
    <row r="39" spans="1:7" x14ac:dyDescent="0.65">
      <c r="B39" s="6" t="s">
        <v>73</v>
      </c>
      <c r="C39" s="3"/>
      <c r="F39" s="6" t="s">
        <v>12</v>
      </c>
      <c r="G39" s="3"/>
    </row>
    <row r="40" spans="1:7" x14ac:dyDescent="0.65">
      <c r="B40" s="6" t="s">
        <v>287</v>
      </c>
      <c r="C40" s="3">
        <v>0</v>
      </c>
      <c r="F40" s="6" t="s">
        <v>264</v>
      </c>
      <c r="G40" s="3"/>
    </row>
    <row r="41" spans="1:7" x14ac:dyDescent="0.65">
      <c r="B41" s="6" t="s">
        <v>269</v>
      </c>
      <c r="C41" s="3">
        <v>1</v>
      </c>
      <c r="F41" s="6" t="s">
        <v>269</v>
      </c>
      <c r="G41" s="3">
        <v>1</v>
      </c>
    </row>
    <row r="42" spans="1:7" x14ac:dyDescent="0.65">
      <c r="B42" s="6" t="s">
        <v>154</v>
      </c>
      <c r="C42" s="3">
        <v>1</v>
      </c>
      <c r="F42" s="6" t="s">
        <v>287</v>
      </c>
      <c r="G42" s="3">
        <v>0</v>
      </c>
    </row>
    <row r="43" spans="1:7" x14ac:dyDescent="0.65">
      <c r="B43" s="6" t="s">
        <v>284</v>
      </c>
      <c r="C43" s="3">
        <v>2</v>
      </c>
      <c r="F43" s="6" t="s">
        <v>284</v>
      </c>
      <c r="G43" s="3">
        <v>1</v>
      </c>
    </row>
    <row r="45" spans="1:7" s="5" customFormat="1" ht="19" thickBot="1" x14ac:dyDescent="0.7">
      <c r="A45" s="5" t="s">
        <v>180</v>
      </c>
    </row>
    <row r="49" spans="2:3" x14ac:dyDescent="0.65">
      <c r="B49" s="4" t="s">
        <v>179</v>
      </c>
      <c r="C49" t="s">
        <v>201</v>
      </c>
    </row>
    <row r="50" spans="2:3" x14ac:dyDescent="0.65">
      <c r="B50" s="6" t="s">
        <v>189</v>
      </c>
      <c r="C50" s="3">
        <v>10</v>
      </c>
    </row>
    <row r="51" spans="2:3" x14ac:dyDescent="0.65">
      <c r="B51" s="6" t="s">
        <v>192</v>
      </c>
      <c r="C51" s="3">
        <v>15</v>
      </c>
    </row>
    <row r="52" spans="2:3" x14ac:dyDescent="0.65">
      <c r="B52" s="6" t="s">
        <v>182</v>
      </c>
      <c r="C52" s="3">
        <v>21</v>
      </c>
    </row>
    <row r="53" spans="2:3" x14ac:dyDescent="0.65">
      <c r="B53" s="6" t="s">
        <v>186</v>
      </c>
      <c r="C53" s="3">
        <v>41</v>
      </c>
    </row>
    <row r="54" spans="2:3" x14ac:dyDescent="0.65">
      <c r="B54" s="6" t="s">
        <v>185</v>
      </c>
      <c r="C54" s="3">
        <v>66</v>
      </c>
    </row>
    <row r="55" spans="2:3" x14ac:dyDescent="0.65">
      <c r="B55" s="6" t="s">
        <v>284</v>
      </c>
      <c r="C55" s="3">
        <v>153</v>
      </c>
    </row>
    <row r="58" spans="2:3" s="7" customFormat="1" x14ac:dyDescent="0.65">
      <c r="B58"/>
      <c r="C58"/>
    </row>
    <row r="59" spans="2:3" s="7" customFormat="1" x14ac:dyDescent="0.65">
      <c r="B59"/>
      <c r="C59"/>
    </row>
    <row r="60" spans="2:3" s="7" customFormat="1" x14ac:dyDescent="0.65">
      <c r="B60"/>
      <c r="C60"/>
    </row>
    <row r="61" spans="2:3" s="7" customFormat="1" x14ac:dyDescent="0.65">
      <c r="B61"/>
      <c r="C61"/>
    </row>
    <row r="62" spans="2:3" s="7" customFormat="1" x14ac:dyDescent="0.65">
      <c r="B62"/>
      <c r="C62"/>
    </row>
    <row r="63" spans="2:3" s="7" customFormat="1" x14ac:dyDescent="0.65">
      <c r="B63"/>
      <c r="C63"/>
    </row>
    <row r="64" spans="2:3" s="7" customFormat="1" x14ac:dyDescent="0.65">
      <c r="B64"/>
      <c r="C64"/>
    </row>
    <row r="65" spans="1:4" s="7" customFormat="1" x14ac:dyDescent="0.65">
      <c r="B65"/>
      <c r="C65"/>
    </row>
    <row r="69" spans="1:4" x14ac:dyDescent="0.65">
      <c r="B69" s="4" t="s">
        <v>179</v>
      </c>
      <c r="C69" t="s">
        <v>202</v>
      </c>
    </row>
    <row r="70" spans="1:4" x14ac:dyDescent="0.65">
      <c r="B70" s="6" t="s">
        <v>68</v>
      </c>
      <c r="C70" s="3">
        <v>2</v>
      </c>
    </row>
    <row r="71" spans="1:4" x14ac:dyDescent="0.65">
      <c r="B71" s="6" t="s">
        <v>11</v>
      </c>
      <c r="C71" s="3">
        <v>188</v>
      </c>
    </row>
    <row r="72" spans="1:4" x14ac:dyDescent="0.65">
      <c r="B72" s="6" t="s">
        <v>284</v>
      </c>
      <c r="C72" s="3">
        <v>190</v>
      </c>
    </row>
    <row r="76" spans="1:4" s="27" customFormat="1" ht="20" thickBot="1" x14ac:dyDescent="0.75">
      <c r="A76" s="27" t="s">
        <v>282</v>
      </c>
    </row>
    <row r="80" spans="1:4" x14ac:dyDescent="0.65">
      <c r="B80" s="28"/>
      <c r="C80" s="29"/>
      <c r="D80" s="30"/>
    </row>
    <row r="81" spans="2:4" x14ac:dyDescent="0.65">
      <c r="B81" s="31"/>
      <c r="C81" s="25"/>
      <c r="D81" s="32"/>
    </row>
    <row r="82" spans="2:4" ht="18" customHeight="1" x14ac:dyDescent="0.65">
      <c r="B82" s="31"/>
      <c r="C82" s="25"/>
      <c r="D82" s="32"/>
    </row>
    <row r="83" spans="2:4" x14ac:dyDescent="0.65">
      <c r="B83" s="31"/>
      <c r="C83" s="25"/>
      <c r="D83" s="32"/>
    </row>
    <row r="84" spans="2:4" x14ac:dyDescent="0.65">
      <c r="B84" s="31"/>
      <c r="C84" s="25"/>
      <c r="D84" s="32"/>
    </row>
    <row r="85" spans="2:4" x14ac:dyDescent="0.65">
      <c r="B85" s="31"/>
      <c r="C85" s="25"/>
      <c r="D85" s="32"/>
    </row>
    <row r="86" spans="2:4" x14ac:dyDescent="0.65">
      <c r="B86" s="31"/>
      <c r="C86" s="25"/>
      <c r="D86" s="32"/>
    </row>
    <row r="87" spans="2:4" x14ac:dyDescent="0.65">
      <c r="B87" s="31"/>
      <c r="C87" s="25"/>
      <c r="D87" s="32"/>
    </row>
    <row r="88" spans="2:4" x14ac:dyDescent="0.65">
      <c r="B88" s="31"/>
      <c r="C88" s="25"/>
      <c r="D88" s="32"/>
    </row>
    <row r="89" spans="2:4" x14ac:dyDescent="0.65">
      <c r="B89" s="31"/>
      <c r="C89" s="25"/>
      <c r="D89" s="32"/>
    </row>
    <row r="90" spans="2:4" x14ac:dyDescent="0.65">
      <c r="B90" s="31"/>
      <c r="C90" s="25"/>
      <c r="D90" s="32"/>
    </row>
    <row r="91" spans="2:4" x14ac:dyDescent="0.65">
      <c r="B91" s="31"/>
      <c r="C91" s="25"/>
      <c r="D91" s="32"/>
    </row>
    <row r="92" spans="2:4" x14ac:dyDescent="0.65">
      <c r="B92" s="31"/>
      <c r="C92" s="25"/>
      <c r="D92" s="32"/>
    </row>
    <row r="93" spans="2:4" x14ac:dyDescent="0.65">
      <c r="B93" s="31"/>
      <c r="C93" s="25"/>
      <c r="D93" s="32"/>
    </row>
    <row r="94" spans="2:4" x14ac:dyDescent="0.65">
      <c r="B94" s="31"/>
      <c r="C94" s="25"/>
      <c r="D94" s="32"/>
    </row>
    <row r="95" spans="2:4" x14ac:dyDescent="0.65">
      <c r="B95" s="31"/>
      <c r="C95" s="25"/>
      <c r="D95" s="32"/>
    </row>
    <row r="96" spans="2:4" x14ac:dyDescent="0.65">
      <c r="B96" s="31"/>
      <c r="C96" s="25"/>
      <c r="D96" s="32"/>
    </row>
    <row r="97" spans="2:4" x14ac:dyDescent="0.65">
      <c r="B97" s="33"/>
      <c r="C97" s="34"/>
      <c r="D97" s="35"/>
    </row>
    <row r="159" spans="1:1" s="5" customFormat="1" ht="19" thickBot="1" x14ac:dyDescent="0.7">
      <c r="A159" s="5" t="s">
        <v>217</v>
      </c>
    </row>
    <row r="162" spans="2:3" x14ac:dyDescent="0.65">
      <c r="B162" s="4" t="s">
        <v>179</v>
      </c>
      <c r="C162" t="s">
        <v>218</v>
      </c>
    </row>
    <row r="163" spans="2:3" x14ac:dyDescent="0.65">
      <c r="B163" s="6" t="s">
        <v>194</v>
      </c>
      <c r="C163" s="3"/>
    </row>
    <row r="164" spans="2:3" x14ac:dyDescent="0.65">
      <c r="B164" s="6" t="s">
        <v>187</v>
      </c>
      <c r="C164" s="3">
        <v>7</v>
      </c>
    </row>
    <row r="165" spans="2:3" x14ac:dyDescent="0.65">
      <c r="B165" s="6" t="s">
        <v>186</v>
      </c>
      <c r="C165" s="3">
        <v>41</v>
      </c>
    </row>
    <row r="166" spans="2:3" x14ac:dyDescent="0.65">
      <c r="B166" s="6" t="s">
        <v>189</v>
      </c>
      <c r="C166" s="3">
        <v>10</v>
      </c>
    </row>
    <row r="167" spans="2:3" x14ac:dyDescent="0.65">
      <c r="B167" s="6" t="s">
        <v>177</v>
      </c>
      <c r="C167" s="3">
        <v>8</v>
      </c>
    </row>
    <row r="168" spans="2:3" x14ac:dyDescent="0.65">
      <c r="B168" s="6" t="s">
        <v>188</v>
      </c>
      <c r="C168" s="3">
        <v>4</v>
      </c>
    </row>
    <row r="169" spans="2:3" x14ac:dyDescent="0.65">
      <c r="B169" s="6" t="s">
        <v>190</v>
      </c>
      <c r="C169" s="3">
        <v>2</v>
      </c>
    </row>
    <row r="170" spans="2:3" x14ac:dyDescent="0.65">
      <c r="B170" s="6" t="s">
        <v>195</v>
      </c>
      <c r="C170" s="3">
        <v>8</v>
      </c>
    </row>
    <row r="171" spans="2:3" x14ac:dyDescent="0.65">
      <c r="B171" s="6" t="s">
        <v>206</v>
      </c>
      <c r="C171" s="3">
        <v>2</v>
      </c>
    </row>
    <row r="172" spans="2:3" x14ac:dyDescent="0.65">
      <c r="B172" s="6" t="s">
        <v>185</v>
      </c>
      <c r="C172" s="3">
        <v>66</v>
      </c>
    </row>
    <row r="173" spans="2:3" x14ac:dyDescent="0.65">
      <c r="B173" s="6" t="s">
        <v>182</v>
      </c>
      <c r="C173" s="3">
        <v>21</v>
      </c>
    </row>
    <row r="174" spans="2:3" x14ac:dyDescent="0.65">
      <c r="B174" s="6" t="s">
        <v>191</v>
      </c>
      <c r="C174" s="3">
        <v>1</v>
      </c>
    </row>
    <row r="175" spans="2:3" x14ac:dyDescent="0.65">
      <c r="B175" s="6" t="s">
        <v>192</v>
      </c>
      <c r="C175" s="3">
        <v>15</v>
      </c>
    </row>
    <row r="176" spans="2:3" x14ac:dyDescent="0.65">
      <c r="B176" s="6" t="s">
        <v>193</v>
      </c>
      <c r="C176" s="3"/>
    </row>
    <row r="177" spans="1:7" x14ac:dyDescent="0.65">
      <c r="B177" s="6" t="s">
        <v>248</v>
      </c>
      <c r="C177" s="3">
        <v>1</v>
      </c>
      <c r="D177">
        <f>GETPIVOTDATA("1º PROCESSO SEI GERADO",($C$162))</f>
        <v>190</v>
      </c>
    </row>
    <row r="178" spans="1:7" x14ac:dyDescent="0.65">
      <c r="B178" s="6" t="s">
        <v>256</v>
      </c>
      <c r="C178" s="3">
        <v>1</v>
      </c>
    </row>
    <row r="179" spans="1:7" x14ac:dyDescent="0.65">
      <c r="B179" s="6" t="s">
        <v>263</v>
      </c>
      <c r="C179" s="3">
        <v>2</v>
      </c>
    </row>
    <row r="180" spans="1:7" x14ac:dyDescent="0.65">
      <c r="B180" s="6" t="s">
        <v>289</v>
      </c>
      <c r="C180" s="3">
        <v>1</v>
      </c>
    </row>
    <row r="181" spans="1:7" x14ac:dyDescent="0.65">
      <c r="B181" s="6" t="s">
        <v>284</v>
      </c>
      <c r="C181" s="3">
        <v>190</v>
      </c>
    </row>
    <row r="184" spans="1:7" s="5" customFormat="1" ht="19" thickBot="1" x14ac:dyDescent="0.7">
      <c r="A184" s="5" t="s">
        <v>250</v>
      </c>
    </row>
    <row r="188" spans="1:7" x14ac:dyDescent="0.65">
      <c r="B188" s="4" t="s">
        <v>179</v>
      </c>
      <c r="C188" t="s">
        <v>251</v>
      </c>
      <c r="E188" s="4"/>
      <c r="F188" s="4"/>
      <c r="G188" s="4"/>
    </row>
    <row r="189" spans="1:7" x14ac:dyDescent="0.65">
      <c r="B189" s="6" t="s">
        <v>253</v>
      </c>
      <c r="C189" s="3">
        <v>21</v>
      </c>
    </row>
    <row r="190" spans="1:7" x14ac:dyDescent="0.65">
      <c r="B190" s="6" t="s">
        <v>284</v>
      </c>
      <c r="C190" s="3">
        <v>21</v>
      </c>
    </row>
    <row r="197" spans="1:3" s="26" customFormat="1" ht="20" thickBot="1" x14ac:dyDescent="0.75">
      <c r="A197" s="26" t="s">
        <v>281</v>
      </c>
    </row>
    <row r="199" spans="1:3" x14ac:dyDescent="0.65">
      <c r="B199" s="4" t="s">
        <v>179</v>
      </c>
      <c r="C199" t="s">
        <v>218</v>
      </c>
    </row>
    <row r="200" spans="1:3" x14ac:dyDescent="0.65">
      <c r="B200" s="6" t="s">
        <v>280</v>
      </c>
      <c r="C200" s="3">
        <v>3</v>
      </c>
    </row>
    <row r="201" spans="1:3" x14ac:dyDescent="0.65">
      <c r="B201" s="6" t="s">
        <v>279</v>
      </c>
      <c r="C201" s="3">
        <v>7</v>
      </c>
    </row>
    <row r="202" spans="1:3" x14ac:dyDescent="0.65">
      <c r="B202" s="6" t="s">
        <v>275</v>
      </c>
      <c r="C202" s="3">
        <v>21</v>
      </c>
    </row>
    <row r="203" spans="1:3" x14ac:dyDescent="0.65">
      <c r="B203" s="6" t="s">
        <v>278</v>
      </c>
      <c r="C203" s="3">
        <v>26</v>
      </c>
    </row>
    <row r="204" spans="1:3" x14ac:dyDescent="0.65">
      <c r="B204" s="6" t="s">
        <v>276</v>
      </c>
      <c r="C204" s="3">
        <v>54</v>
      </c>
    </row>
    <row r="205" spans="1:3" x14ac:dyDescent="0.65">
      <c r="B205" s="6" t="s">
        <v>277</v>
      </c>
      <c r="C205" s="3">
        <v>74</v>
      </c>
    </row>
    <row r="206" spans="1:3" x14ac:dyDescent="0.65">
      <c r="B206" s="6" t="s">
        <v>284</v>
      </c>
      <c r="C206" s="3">
        <v>185</v>
      </c>
    </row>
  </sheetData>
  <sheetProtection algorithmName="SHA-512" hashValue="OzWgKMz31j1cYAQquWBJ6zsVdDSdXOKJyULdaN8hfMCCn0DNnjIA4q114tnaTOFGoHhXXd4vc4idW6h0LRiPWQ==" saltValue="fnJ/eutHNY0kR4yEI3h24A==" spinCount="100000" sheet="1" objects="1" scenarios="1" selectLockedCells="1" selectUnlockedCells="1"/>
  <pageMargins left="0.511811024" right="0.511811024" top="0.78740157499999996" bottom="0.78740157499999996" header="0.31496062000000002" footer="0.31496062000000002"/>
  <pageSetup paperSize="9" orientation="portrait" r:id="rId1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E17"/>
  <sheetViews>
    <sheetView workbookViewId="0">
      <selection activeCell="B7" sqref="B7"/>
    </sheetView>
  </sheetViews>
  <sheetFormatPr defaultRowHeight="18.5" x14ac:dyDescent="0.65"/>
  <cols>
    <col min="1" max="1" width="66.90625" customWidth="1"/>
    <col min="2" max="2" width="20.08984375" customWidth="1"/>
    <col min="5" max="5" width="8.36328125" customWidth="1"/>
  </cols>
  <sheetData>
    <row r="1" spans="1:5" x14ac:dyDescent="0.65">
      <c r="A1" s="1" t="s">
        <v>224</v>
      </c>
      <c r="B1" s="1" t="s">
        <v>239</v>
      </c>
    </row>
    <row r="2" spans="1:5" ht="19.5" x14ac:dyDescent="0.7">
      <c r="A2" t="s">
        <v>225</v>
      </c>
      <c r="B2">
        <v>477</v>
      </c>
      <c r="E2" s="17"/>
    </row>
    <row r="3" spans="1:5" x14ac:dyDescent="0.65">
      <c r="A3" t="s">
        <v>226</v>
      </c>
      <c r="B3">
        <v>216</v>
      </c>
      <c r="E3" s="18"/>
    </row>
    <row r="4" spans="1:5" x14ac:dyDescent="0.65">
      <c r="A4" t="s">
        <v>227</v>
      </c>
      <c r="B4">
        <v>43</v>
      </c>
    </row>
    <row r="5" spans="1:5" x14ac:dyDescent="0.65">
      <c r="A5" t="s">
        <v>228</v>
      </c>
      <c r="B5">
        <v>6</v>
      </c>
    </row>
    <row r="6" spans="1:5" x14ac:dyDescent="0.65">
      <c r="A6" t="s">
        <v>229</v>
      </c>
      <c r="B6">
        <v>4</v>
      </c>
    </row>
    <row r="7" spans="1:5" x14ac:dyDescent="0.65">
      <c r="A7" t="s">
        <v>230</v>
      </c>
      <c r="B7">
        <v>1</v>
      </c>
    </row>
    <row r="8" spans="1:5" x14ac:dyDescent="0.65">
      <c r="A8" t="s">
        <v>231</v>
      </c>
      <c r="B8">
        <v>3</v>
      </c>
    </row>
    <row r="9" spans="1:5" x14ac:dyDescent="0.65">
      <c r="A9" t="s">
        <v>232</v>
      </c>
      <c r="B9">
        <v>2</v>
      </c>
    </row>
    <row r="10" spans="1:5" x14ac:dyDescent="0.65">
      <c r="A10" t="s">
        <v>233</v>
      </c>
      <c r="B10">
        <v>36</v>
      </c>
    </row>
    <row r="11" spans="1:5" x14ac:dyDescent="0.65">
      <c r="A11" t="s">
        <v>234</v>
      </c>
      <c r="B11">
        <v>8</v>
      </c>
    </row>
    <row r="12" spans="1:5" x14ac:dyDescent="0.65">
      <c r="A12" t="s">
        <v>235</v>
      </c>
      <c r="B12">
        <v>2</v>
      </c>
    </row>
    <row r="13" spans="1:5" x14ac:dyDescent="0.65">
      <c r="A13" t="s">
        <v>236</v>
      </c>
      <c r="B13">
        <v>22</v>
      </c>
    </row>
    <row r="14" spans="1:5" x14ac:dyDescent="0.65">
      <c r="A14" t="s">
        <v>237</v>
      </c>
      <c r="B14">
        <v>6</v>
      </c>
    </row>
    <row r="15" spans="1:5" x14ac:dyDescent="0.65">
      <c r="A15" t="s">
        <v>238</v>
      </c>
      <c r="B15">
        <v>261</v>
      </c>
    </row>
    <row r="16" spans="1:5" x14ac:dyDescent="0.65">
      <c r="A16" t="s">
        <v>240</v>
      </c>
      <c r="B16">
        <v>3</v>
      </c>
    </row>
    <row r="17" spans="1:2" x14ac:dyDescent="0.65">
      <c r="A17" t="s">
        <v>241</v>
      </c>
      <c r="B17">
        <v>34</v>
      </c>
    </row>
  </sheetData>
  <sheetProtection sort="0" autoFilter="0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2:B49"/>
  <sheetViews>
    <sheetView topLeftCell="A35" workbookViewId="0">
      <selection activeCell="A58" sqref="A58"/>
    </sheetView>
  </sheetViews>
  <sheetFormatPr defaultRowHeight="18.5" x14ac:dyDescent="0.65"/>
  <cols>
    <col min="1" max="1" width="15.08984375" customWidth="1"/>
  </cols>
  <sheetData>
    <row r="2" spans="1:2" s="5" customFormat="1" ht="19" thickBot="1" x14ac:dyDescent="0.7">
      <c r="A2" s="5" t="s">
        <v>243</v>
      </c>
    </row>
    <row r="4" spans="1:2" x14ac:dyDescent="0.65">
      <c r="A4" s="4" t="s">
        <v>179</v>
      </c>
      <c r="B4" t="s">
        <v>242</v>
      </c>
    </row>
    <row r="5" spans="1:2" x14ac:dyDescent="0.65">
      <c r="A5" s="6" t="s">
        <v>226</v>
      </c>
      <c r="B5" s="3">
        <v>216</v>
      </c>
    </row>
    <row r="6" spans="1:2" x14ac:dyDescent="0.65">
      <c r="A6" s="6" t="s">
        <v>238</v>
      </c>
      <c r="B6" s="3">
        <v>261</v>
      </c>
    </row>
    <row r="7" spans="1:2" x14ac:dyDescent="0.65">
      <c r="A7" s="6" t="s">
        <v>284</v>
      </c>
      <c r="B7" s="3">
        <v>477</v>
      </c>
    </row>
    <row r="12" spans="1:2" s="5" customFormat="1" ht="19" thickBot="1" x14ac:dyDescent="0.7">
      <c r="A12" s="5" t="s">
        <v>244</v>
      </c>
    </row>
    <row r="16" spans="1:2" x14ac:dyDescent="0.65">
      <c r="A16" s="4" t="s">
        <v>179</v>
      </c>
      <c r="B16" t="s">
        <v>242</v>
      </c>
    </row>
    <row r="17" spans="1:2" x14ac:dyDescent="0.65">
      <c r="A17" s="6" t="s">
        <v>230</v>
      </c>
      <c r="B17" s="3">
        <v>1</v>
      </c>
    </row>
    <row r="18" spans="1:2" x14ac:dyDescent="0.65">
      <c r="A18" s="6" t="s">
        <v>231</v>
      </c>
      <c r="B18" s="3">
        <v>3</v>
      </c>
    </row>
    <row r="19" spans="1:2" x14ac:dyDescent="0.65">
      <c r="A19" s="6" t="s">
        <v>284</v>
      </c>
      <c r="B19" s="3">
        <v>4</v>
      </c>
    </row>
    <row r="24" spans="1:2" s="5" customFormat="1" ht="19" thickBot="1" x14ac:dyDescent="0.7">
      <c r="A24" s="5" t="s">
        <v>245</v>
      </c>
    </row>
    <row r="28" spans="1:2" x14ac:dyDescent="0.65">
      <c r="A28" s="4" t="s">
        <v>179</v>
      </c>
      <c r="B28" t="s">
        <v>242</v>
      </c>
    </row>
    <row r="29" spans="1:2" x14ac:dyDescent="0.65">
      <c r="A29" s="6" t="s">
        <v>228</v>
      </c>
      <c r="B29" s="3">
        <v>6</v>
      </c>
    </row>
    <row r="30" spans="1:2" x14ac:dyDescent="0.65">
      <c r="A30" s="6" t="s">
        <v>240</v>
      </c>
      <c r="B30" s="3">
        <v>3</v>
      </c>
    </row>
    <row r="31" spans="1:2" x14ac:dyDescent="0.65">
      <c r="A31" s="6" t="s">
        <v>241</v>
      </c>
      <c r="B31" s="3">
        <v>34</v>
      </c>
    </row>
    <row r="32" spans="1:2" x14ac:dyDescent="0.65">
      <c r="A32" s="6" t="s">
        <v>284</v>
      </c>
      <c r="B32" s="3">
        <v>43</v>
      </c>
    </row>
    <row r="38" spans="1:2" s="5" customFormat="1" ht="19" thickBot="1" x14ac:dyDescent="0.7">
      <c r="A38" s="5" t="s">
        <v>246</v>
      </c>
    </row>
    <row r="42" spans="1:2" x14ac:dyDescent="0.65">
      <c r="A42" s="4" t="s">
        <v>179</v>
      </c>
      <c r="B42" t="s">
        <v>242</v>
      </c>
    </row>
    <row r="43" spans="1:2" x14ac:dyDescent="0.65">
      <c r="A43" s="6" t="s">
        <v>232</v>
      </c>
      <c r="B43" s="3">
        <v>2</v>
      </c>
    </row>
    <row r="44" spans="1:2" x14ac:dyDescent="0.65">
      <c r="A44" s="6" t="s">
        <v>235</v>
      </c>
      <c r="B44" s="3">
        <v>2</v>
      </c>
    </row>
    <row r="45" spans="1:2" x14ac:dyDescent="0.65">
      <c r="A45" s="6" t="s">
        <v>234</v>
      </c>
      <c r="B45" s="3">
        <v>8</v>
      </c>
    </row>
    <row r="46" spans="1:2" x14ac:dyDescent="0.65">
      <c r="A46" s="6" t="s">
        <v>237</v>
      </c>
      <c r="B46" s="3">
        <v>6</v>
      </c>
    </row>
    <row r="47" spans="1:2" x14ac:dyDescent="0.65">
      <c r="A47" s="6" t="s">
        <v>236</v>
      </c>
      <c r="B47" s="3">
        <v>22</v>
      </c>
    </row>
    <row r="48" spans="1:2" x14ac:dyDescent="0.65">
      <c r="A48" s="6" t="s">
        <v>233</v>
      </c>
      <c r="B48" s="3">
        <v>36</v>
      </c>
    </row>
    <row r="49" spans="1:2" x14ac:dyDescent="0.65">
      <c r="A49" s="6" t="s">
        <v>284</v>
      </c>
      <c r="B49" s="3">
        <v>76</v>
      </c>
    </row>
  </sheetData>
  <sheetProtection sort="0" autoFilter="0" pivotTables="0"/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>
    <pageSetUpPr fitToPage="1"/>
  </sheetPr>
  <dimension ref="D1"/>
  <sheetViews>
    <sheetView showGridLines="0" showRowColHeaders="0" tabSelected="1" zoomScaleNormal="100" workbookViewId="0">
      <selection activeCell="DP13" sqref="DP13"/>
    </sheetView>
  </sheetViews>
  <sheetFormatPr defaultColWidth="1.08984375" defaultRowHeight="4.5" customHeight="1" x14ac:dyDescent="0.65"/>
  <sheetData>
    <row r="1" spans="4:4" ht="4.5" customHeight="1" x14ac:dyDescent="0.65">
      <c r="D1" t="s">
        <v>219</v>
      </c>
    </row>
  </sheetData>
  <sheetProtection algorithmName="SHA-512" hashValue="nYsOs4hFiIr8MSMF/PVOEPS60IYozp21K5MJVp84IWhkW+74o+NaCJygXBDC6uzKvpIhMvNryPUWL4vu7Ac4IA==" saltValue="XR7FyeNxTIONivad8zbY8Q==" spinCount="100000" sheet="1" objects="1" scenarios="1" selectLockedCells="1" selectUnlockedCells="1"/>
  <pageMargins left="0.51181102362204722" right="0.51181102362204722" top="0.78740157480314965" bottom="0.78740157480314965" header="0.31496062992125984" footer="0.31496062992125984"/>
  <pageSetup paperSize="9" scale="52" orientation="portrait" r:id="rId1"/>
  <headerFooter>
    <oddHeader>&amp;L&amp;Y*Prisões pela GM não atualizado
*Abordagens atualizado até 19/05/2020
*Período: 16 de Janeiro à 30 de abril de 2020.&amp;R&amp;Y*Proc.Sei, reincidentes, atualizado em: &amp;D às &amp;T</oddHeader>
    <oddFooter>&amp;L&amp;YFonte: SinespCad, Sistema Eletrônico de Informações PMPA&amp;R&amp;YPágina(s): &amp;P de &amp;N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>
    <pageSetUpPr fitToPage="1"/>
  </sheetPr>
  <dimension ref="DD1:DD42"/>
  <sheetViews>
    <sheetView showGridLines="0" showRowColHeaders="0" zoomScaleNormal="100" workbookViewId="0">
      <selection activeCell="DE25" sqref="DE25"/>
    </sheetView>
  </sheetViews>
  <sheetFormatPr defaultColWidth="1.36328125" defaultRowHeight="6" customHeight="1" x14ac:dyDescent="0.65"/>
  <cols>
    <col min="1" max="1" width="0.7265625" customWidth="1"/>
    <col min="108" max="108" width="2.453125" bestFit="1" customWidth="1"/>
  </cols>
  <sheetData>
    <row r="1" ht="4.5" customHeight="1" x14ac:dyDescent="0.65"/>
    <row r="42" spans="108:108" ht="6" customHeight="1" x14ac:dyDescent="0.65">
      <c r="DD42">
        <f>CALCULOS!$D$72</f>
        <v>0</v>
      </c>
    </row>
  </sheetData>
  <sheetProtection algorithmName="SHA-512" hashValue="lGJyg4tMwozAXDw8tgOnmlcWEl5UaQ/TDmxcY4iu6mvyz+OT5UEZuKuok80S2AOveoChm9MM1bKF6S2VwSUaWw==" saltValue="hUIxZMTrxu9Fi9g1r81gVw==" spinCount="100000" sheet="1" objects="1" scenarios="1" selectLockedCells="1" selectUnlockedCells="1"/>
  <pageMargins left="0.51181102362204722" right="0.51181102362204722" top="0.78740157480314965" bottom="0.78740157480314965" header="0.31496062992125984" footer="0.31496062992125984"/>
  <pageSetup paperSize="9" scale="80" orientation="portrait" r:id="rId1"/>
  <headerFooter>
    <oddHeader>&amp;LPeríodo: 1º de janeiro à 30 de abril de 2020.&amp;RAtualizado em: &amp;D às &amp;T</oddHeader>
    <oddFooter>&amp;LFonte: SinespCad, Consultas Integradas SSP/RS&amp;RPágina(s): &amp;P de &amp;N</oddFooter>
  </headerFooter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>
    <pageSetUpPr fitToPage="1"/>
  </sheetPr>
  <dimension ref="A1"/>
  <sheetViews>
    <sheetView showGridLines="0" showRowColHeaders="0" workbookViewId="0">
      <selection activeCell="BK37" sqref="BK37"/>
    </sheetView>
  </sheetViews>
  <sheetFormatPr defaultColWidth="0.90625" defaultRowHeight="6" customHeight="1" x14ac:dyDescent="0.65"/>
  <sheetData/>
  <sheetProtection algorithmName="SHA-512" hashValue="lDkSGZ+YO2MM4SUqMN/qvLWbJJQQzBGT5Aav6mJS6btxFtjAoD9E/TJG979+PfOQhv/LcsGPTk/I16mnBjHoUA==" saltValue="KE6ddDXyMZ0pHrIf2J0+sg==" spinCount="100000" sheet="1" objects="1" scenarios="1" selectLockedCells="1" selectUnlockedCells="1"/>
  <pageMargins left="0.511811024" right="0.511811024" top="0.78740157499999996" bottom="0.78740157499999996" header="0.31496062000000002" footer="0.31496062000000002"/>
  <pageSetup paperSize="9" scale="6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2</vt:i4>
      </vt:variant>
    </vt:vector>
  </HeadingPairs>
  <TitlesOfParts>
    <vt:vector size="9" baseType="lpstr">
      <vt:lpstr>BD</vt:lpstr>
      <vt:lpstr>CALCULOS</vt:lpstr>
      <vt:lpstr>BD_Atend_Sociais</vt:lpstr>
      <vt:lpstr>Calculos_Atend_Sociais</vt:lpstr>
      <vt:lpstr>Autuações</vt:lpstr>
      <vt:lpstr>Perfil Autuações</vt:lpstr>
      <vt:lpstr>Ações FASC - SINE</vt:lpstr>
      <vt:lpstr>Autuações!Area_de_impressao</vt:lpstr>
      <vt:lpstr>'Perfil Autuações'!Area_de_impressao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Abel F. da Silva</dc:creator>
  <cp:lastModifiedBy>Abel F. da Silva</cp:lastModifiedBy>
  <cp:lastPrinted>2020-05-20T21:22:14Z</cp:lastPrinted>
  <dcterms:created xsi:type="dcterms:W3CDTF">2020-03-06T23:52:32Z</dcterms:created>
  <dcterms:modified xsi:type="dcterms:W3CDTF">2020-06-04T19:37:22Z</dcterms:modified>
</cp:coreProperties>
</file>